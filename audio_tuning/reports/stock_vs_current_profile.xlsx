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d36107b7f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f21bfaff6444e2e"/>
    <x:sheet xmlns:r="http://schemas.openxmlformats.org/officeDocument/2006/relationships" name="Сравнение" sheetId="2" r:id="Rded53c0ebde548e7"/>
    <x:sheet xmlns:r="http://schemas.openxmlformats.org/officeDocument/2006/relationships" name="Графики" sheetId="3" r:id="R1408a86fe3374756"/>
    <x:sheet xmlns:r="http://schemas.openxmlformats.org/officeDocument/2006/relationships" name="Данные графиков" sheetId="4" r:id="Rfb304a3078d04c03"/>
    <x:sheet xmlns:r="http://schemas.openxmlformats.org/officeDocument/2006/relationships" name="Профили EQ" sheetId="5" r:id="R3b6d3d2771bd44ce"/>
    <x:sheet xmlns:r="http://schemas.openxmlformats.org/officeDocument/2006/relationships" name="Исходные данные" sheetId="6" r:id="Rbec2e0fee25442a4"/>
    <x:sheet xmlns:r="http://schemas.openxmlformats.org/officeDocument/2006/relationships" name="Методика" sheetId="7" r:id="R49819ce2f343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34495E"/>
      <x:name val="Carlito"/>
    </x:font>
    <x:font>
      <x:b/>
      <x:sz val="11"/>
      <x:color rgb="FF183754"/>
      <x:name val="Carlito"/>
    </x:font>
    <x:font>
      <x:sz val="11"/>
      <x:color rgb="FF243B53"/>
      <x:name val="Carlito"/>
    </x:font>
    <x:font>
      <x:b/>
      <x:sz val="11"/>
      <x:color rgb="FF263238"/>
      <x:name val="Carlito"/>
    </x:font>
    <x:font>
      <x:sz val="11"/>
      <x:color rgb="FF35556B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5D78"/>
      </x:patternFill>
    </x:fill>
    <x:fill>
      <x:patternFill patternType="solid">
        <x:fgColor rgb="FFDCEAF2"/>
      </x:patternFill>
    </x:fill>
    <x:fill>
      <x:patternFill patternType="solid">
        <x:fgColor rgb="FF475569"/>
      </x:patternFill>
    </x:fill>
    <x:fill>
      <x:patternFill patternType="solid">
        <x:fgColor rgb="FFD97706"/>
      </x:patternFill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7C3AED"/>
      </x:patternFill>
    </x:fill>
    <x:fill>
      <x:patternFill patternType="solid">
        <x:fgColor rgb="FFF3F7FA"/>
      </x:patternFill>
    </x:fill>
    <x:fill>
      <x:patternFill patternType="solid">
        <x:fgColor rgb="FF183754"/>
      </x:patternFill>
    </x:fill>
    <x:fill>
      <x:patternFill patternType="solid">
        <x:fgColor rgb="FFD9EAF4"/>
      </x:patternFill>
    </x:fill>
    <x:fill>
      <x:patternFill patternType="solid">
        <x:fgColor rgb="FFF7FAFC"/>
      </x:patternFill>
    </x:fill>
    <x:fill>
      <x:patternFill patternType="solid">
        <x:fgColor rgb="FF2F617A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FFC000"/>
      </x:patternFill>
    </x:fill>
    <x:fill>
      <x:patternFill patternType="solid">
        <x:fgColor rgb="FFEEF4F8"/>
      </x:patternFill>
    </x:fill>
    <x:fill>
      <x:patternFill patternType="solid">
        <x:fgColor rgb="FF183754"/>
      </x:patternFill>
    </x:fill>
    <x:fill>
      <x:patternFill patternType="solid">
        <x:fgColor rgb="FFD9EAF4"/>
      </x:patternFill>
    </x:fill>
    <x:fill>
      <x:patternFill patternType="solid">
        <x:fgColor rgb="FFF7FAFC"/>
      </x:patternFill>
    </x:fill>
    <x:fill>
      <x:patternFill patternType="solid">
        <x:fgColor rgb="FF2F617A"/>
      </x:patternFill>
    </x:fill>
    <x:fill>
      <x:patternFill patternType="solid">
        <x:fgColor rgb="FF156082"/>
      </x:patternFill>
    </x:fill>
    <x:fill>
      <x:patternFill patternType="solid">
        <x:fgColor rgb="FFE97132"/>
      </x:patternFill>
    </x:fill>
    <x:fill>
      <x:patternFill patternType="solid">
        <x:fgColor rgb="FF196B24"/>
      </x:patternFill>
    </x:fill>
    <x:fill>
      <x:patternFill patternType="solid">
        <x:fgColor rgb="FF0F9ED5"/>
      </x:patternFill>
    </x:fill>
    <x:fill>
      <x:patternFill patternType="solid">
        <x:fgColor rgb="FFEEF4F8"/>
      </x:patternFill>
    </x:fill>
  </x:fills>
  <x:borders count="5">
    <x:border/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2" xfId="0" applyNumberFormat="1" applyFont="1" applyFill="1" applyBorder="1"/>
    <x:xf numFmtId="200" fontId="6" fillId="13" borderId="2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vertical="top" wrapText="1"/>
    </x:xf>
    <x:xf numFmtId="202" fontId="6" fillId="13" borderId="2" xfId="0" applyNumberFormat="1" applyFont="1" applyFill="1" applyBorder="1"/>
    <x:xf numFmtId="0" fontId="6" fillId="13" borderId="2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3" xfId="0" applyNumberFormat="1" applyFont="1" applyFill="1" applyBorder="1"/>
    <x:xf numFmtId="0" fontId="5" fillId="21" borderId="3" xfId="0" applyNumberFormat="1" applyFont="1" applyFill="1" applyBorder="1" applyAlignment="1">
      <x:alignment wrapText="1"/>
    </x:xf>
    <x:xf numFmtId="0" fontId="5" fillId="21" borderId="3" xfId="0" applyNumberFormat="1" applyFont="1" applyFill="1" applyBorder="1" applyAlignment="1">
      <x:alignment horizontal="center" wrapText="1"/>
    </x:xf>
    <x:xf numFmtId="0" fontId="5" fillId="21" borderId="3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4" xfId="0" applyNumberFormat="1" applyFont="1" applyFill="1" applyBorder="1"/>
    <x:xf numFmtId="200" fontId="6" fillId="22" borderId="4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 applyAlignment="1">
      <x:alignment vertical="top" wrapText="1"/>
    </x:xf>
    <x:xf numFmtId="202" fontId="6" fillId="22" borderId="4" xfId="0" applyNumberFormat="1" applyFont="1" applyFill="1" applyBorder="1"/>
    <x:xf numFmtId="0" fontId="6" fillId="22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489bdc3da453b" /><Relationship Type="http://schemas.openxmlformats.org/officeDocument/2006/relationships/theme" Target="/xl/theme/theme1.xml" Id="R1da5c725af394b38" /><Relationship Type="http://schemas.openxmlformats.org/officeDocument/2006/relationships/sharedStrings" Target="/xl/sharedStrings.xml" Id="R4a1a00d5942a47db" /><Relationship Type="http://schemas.openxmlformats.org/officeDocument/2006/relationships/worksheet" Target="/xl/worksheets/sheet1.xml" Id="Rbf21bfaff6444e2e" /><Relationship Type="http://schemas.openxmlformats.org/officeDocument/2006/relationships/worksheet" Target="/xl/worksheets/sheet2.xml" Id="Rded53c0ebde548e7" /><Relationship Type="http://schemas.openxmlformats.org/officeDocument/2006/relationships/worksheet" Target="/xl/worksheets/sheet3.xml" Id="R1408a86fe3374756" /><Relationship Type="http://schemas.openxmlformats.org/officeDocument/2006/relationships/worksheet" Target="/xl/worksheets/sheet4.xml" Id="Rfb304a3078d04c03" /><Relationship Type="http://schemas.openxmlformats.org/officeDocument/2006/relationships/worksheet" Target="/xl/worksheets/sheet5.xml" Id="R3b6d3d2771bd44ce" /><Relationship Type="http://schemas.openxmlformats.org/officeDocument/2006/relationships/worksheet" Target="/xl/worksheets/sheet6.xml" Id="Rbec2e0fee25442a4" /><Relationship Type="http://schemas.openxmlformats.org/officeDocument/2006/relationships/worksheet" Target="/xl/worksheets/sheet7.xml" Id="R49819ce2f34343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25de516d35452e" /><Relationship Type="http://schemas.openxmlformats.org/officeDocument/2006/relationships/chart" Target="/xl/drawings/charts/chart2.xml" Id="R50e5aca03d5c48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АЧХ относительно целевой кривой, дБ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Кандидат 1</c:v>
          </c:tx>
          <c:cat>
            <c:strRef>
              <c:f>'Данные графиков'!$A$5:$A$27</c:f>
              <c:strCache>
                <c:ptCount val="0"/>
              </c:strCache>
            </c:strRef>
          </c:cat>
          <c:val>
            <c:numRef>
              <c:f>'Данные графиков'!$B$5:$B$27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Предыдущий: TA 40/0</c:v>
          </c:tx>
          <c:cat>
            <c:strRef>
              <c:f>'Данные графиков'!$A$5:$A$27</c:f>
              <c:strCache>
                <c:ptCount val="0"/>
              </c:strCache>
            </c:strRef>
          </c:cat>
          <c:val>
            <c:numRef>
              <c:f>'Данные графиков'!$C$5:$C$27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Идеал</c:v>
          </c:tx>
          <c:cat>
            <c:strRef>
              <c:f>'Данные графиков'!$A$5:$A$27</c:f>
              <c:strCache>
                <c:ptCount val="0"/>
              </c:strCache>
            </c:strRef>
          </c:cat>
          <c:val>
            <c:numRef>
              <c:f>'Данные графиков'!$D$5:$D$27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Текущий: TA 51/0 + Q2,5</c:v>
          </c:tx>
          <c:cat>
            <c:strRef>
              <c:f>'Данные графиков'!$A$5:$A$27</c:f>
              <c:strCache>
                <c:ptCount val="0"/>
              </c:strCache>
            </c:strRef>
          </c:cat>
          <c:val>
            <c:numRef>
              <c:f>'Данные графиков'!$E$5:$E$27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Абсолютное отклонение от идеала, дБ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Кандидат 1</c:v>
          </c:tx>
          <c:cat>
            <c:strRef>
              <c:f>'Данные графиков'!$G$5:$G$27</c:f>
              <c:strCache>
                <c:ptCount val="0"/>
              </c:strCache>
            </c:strRef>
          </c:cat>
          <c:val>
            <c:numRef>
              <c:f>'Данные графиков'!$H$5:$H$27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Предыдущий: TA 40/0</c:v>
          </c:tx>
          <c:cat>
            <c:strRef>
              <c:f>'Данные графиков'!$G$5:$G$27</c:f>
              <c:strCache>
                <c:ptCount val="0"/>
              </c:strCache>
            </c:strRef>
          </c:cat>
          <c:val>
            <c:numRef>
              <c:f>'Данные графиков'!$I$5:$I$27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Идеал</c:v>
          </c:tx>
          <c:cat>
            <c:strRef>
              <c:f>'Данные графиков'!$G$5:$G$27</c:f>
              <c:strCache>
                <c:ptCount val="0"/>
              </c:strCache>
            </c:strRef>
          </c:cat>
          <c:val>
            <c:numRef>
              <c:f>'Данные графиков'!$J$5:$J$27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Текущий: TA 51/0 + Q2,5</c:v>
          </c:tx>
          <c:cat>
            <c:strRef>
              <c:f>'Данные графиков'!$G$5:$G$27</c:f>
              <c:strCache>
                <c:ptCount val="0"/>
              </c:strCache>
            </c:strRef>
          </c:cat>
          <c:val>
            <c:numRef>
              <c:f>'Данные графиков'!$K$5:$K$27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5de516d35452e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e5aca03d5c48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bfea3f559ba49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22" hidden="0" customWidth="1"/>
    <x:col min="4" max="4" width="22" hidden="0" customWidth="1"/>
    <x:col min="5" max="5" width="4" hidden="0" customWidth="1"/>
    <x:col min="6" max="6" width="31" hidden="0" customWidth="1"/>
    <x:col min="7" max="7" width="16" hidden="0" customWidth="1"/>
    <x:col min="8" max="8" width="14" hidden="0" customWidth="1"/>
    <x:col min="9" max="9" width="16" hidden="0" customWidth="1"/>
  </x:cols>
  <x:sheetData>
    <x:row r="1">
      <x:c r="A1" s="62" t="str">
        <x:v>Кандидат 1, первый профиль задержек и текущая настройка</x:v>
      </x:c>
      <x:c r="B1" s="62"/>
      <x:c r="C1" s="62"/>
      <x:c r="D1" s="62"/>
      <x:c r="E1" s="62"/>
      <x:c r="F1" s="62"/>
      <x:c r="G1" s="62"/>
      <x:c r="H1" s="62"/>
      <x:c r="I1"/>
    </x:row>
    <x:row r="2">
      <x:c r="A2" s="62"/>
      <x:c r="B2" s="62"/>
      <x:c r="C2" s="62"/>
      <x:c r="D2" s="62"/>
      <x:c r="E2" s="62"/>
      <x:c r="F2" s="62"/>
      <x:c r="G2" s="62"/>
      <x:c r="H2" s="62"/>
      <x:c r="I2"/>
    </x:row>
    <x:row r="4">
      <x:c r="A4" s="74" t="str">
        <x:v>Ключевые показатели: 100–18 000 Гц</x:v>
      </x:c>
      <x:c r="B4" s="74"/>
      <x:c r="C4" s="74"/>
      <x:c r="D4" s="74"/>
      <x:c r="E4"/>
      <x:c r="F4" s="74" t="str">
        <x:v>Постоянная палитра серий</x:v>
      </x:c>
      <x:c r="G4" s="74"/>
      <x:c r="H4" s="74"/>
      <x:c r="I4"/>
    </x:row>
    <x:row r="6">
      <x:c r="A6" s="68" t="str">
        <x:v>Профиль</x:v>
      </x:c>
      <x:c r="B6" s="68" t="str">
        <x:v>Цвет</x:v>
      </x:c>
      <x:c r="C6" s="68" t="str">
        <x:v>Среднее |отклонение|, дБ</x:v>
      </x:c>
      <x:c r="D6" s="68" t="str">
        <x:v>Улучшение к кандидату 1, дБ</x:v>
      </x:c>
      <x:c r="F6" s="68" t="str">
        <x:v>Серия</x:v>
      </x:c>
      <x:c r="G6" s="68" t="str">
        <x:v>Цвет</x:v>
      </x:c>
      <x:c r="H6" s="68" t="str">
        <x:v>HEX</x:v>
      </x:c>
      <x:c r="I6"/>
    </x:row>
    <x:row r="7">
      <x:c r="A7" s="71" t="str">
        <x:v>Кандидат 1 (15.07)</x:v>
      </x:c>
      <x:c r="B7" s="71" t="str">
        <x:v>Тёмно-синий</x:v>
      </x:c>
      <x:c r="C7" s="72" t="n">
        <x:f>AVERAGE('Сравнение'!D5:D27)</x:f>
        <x:v>6.246304390298475</x:v>
      </x:c>
      <x:c r="D7" s="72" t="n">
        <x:v>0</x:v>
      </x:c>
      <x:c r="F7" s="76" t="str">
        <x:v>Кандидат 1</x:v>
      </x:c>
      <x:c r="G7" s="76" t="str">
        <x:v>Тёмно-синий</x:v>
      </x:c>
      <x:c r="H7" s="76" t="str">
        <x:v>#156082</x:v>
      </x:c>
    </x:row>
    <x:row r="8">
      <x:c r="A8" s="71" t="str">
        <x:v>Предыдущий: EQ + TA 40/0 (16.07)</x:v>
      </x:c>
      <x:c r="B8" s="71" t="str">
        <x:v>Оранжевый</x:v>
      </x:c>
      <x:c r="C8" s="72" t="n">
        <x:f>AVERAGE('Сравнение'!F5:F27)</x:f>
        <x:v>4.592935166082666</x:v>
      </x:c>
      <x:c r="D8" s="72" t="n">
        <x:f>$C$7-C8</x:f>
        <x:v>1.6533692242158091</x:v>
      </x:c>
      <x:c r="F8" s="78" t="str">
        <x:v>Предыдущий: TA 40/0</x:v>
      </x:c>
      <x:c r="G8" s="78" t="str">
        <x:v>Оранжевый</x:v>
      </x:c>
      <x:c r="H8" s="78" t="str">
        <x:v>#E97132</x:v>
      </x:c>
    </x:row>
    <x:row r="9">
      <x:c r="A9" s="71" t="str">
        <x:v>Текущий: EQ + TA 51/0 + 135 Гц Q2,5 (16.07)</x:v>
      </x:c>
      <x:c r="B9" s="71" t="str">
        <x:v>Голубой</x:v>
      </x:c>
      <x:c r="C9" s="72" t="n">
        <x:f>AVERAGE('Сравнение'!H5:H27)</x:f>
        <x:v>3.603011170179893</x:v>
      </x:c>
      <x:c r="D9" s="72" t="n">
        <x:f>$C$7-C9</x:f>
        <x:v>2.643293220118582</x:v>
      </x:c>
      <x:c r="F9" s="80" t="str">
        <x:v>Идеал</x:v>
      </x:c>
      <x:c r="G9" s="80" t="str">
        <x:v>Зелёный</x:v>
      </x:c>
      <x:c r="H9" s="80" t="str">
        <x:v>#196B24</x:v>
      </x:c>
    </x:row>
    <x:row r="10">
      <x:c r="A10"/>
      <x:c r="B10"/>
      <x:c r="C10"/>
      <x:c r="D10"/>
      <x:c r="F10" s="82" t="str">
        <x:v>Текущий: TA 51/0 + Q2,5</x:v>
      </x:c>
      <x:c r="G10" s="82" t="str">
        <x:v>Голубой</x:v>
      </x:c>
      <x:c r="H10" s="82" t="str">
        <x:v>#0F9ED5</x:v>
      </x:c>
    </x:row>
    <x:row r="11">
      <x:c r="F11"/>
      <x:c r="G11"/>
      <x:c r="H11"/>
    </x:row>
    <x:row r="12" ht="27" customHeight="1">
      <x:c r="A12" s="86" t="str">
        <x:v>На графиках оставлены только идеальная кривая, кандидат 1, предыдущий профиль первого добавления задержек 40/0 и текущий профиль 51/0 с коррекцией 135 Гц. Кривые нормализованы; сравнение не является абсолютным SPL.</x:v>
      </x:c>
      <x:c r="B12" s="86"/>
      <x:c r="C12" s="86"/>
      <x:c r="D12" s="86"/>
      <x:c r="E12" s="86"/>
      <x:c r="F12" s="86"/>
      <x:c r="G12" s="86"/>
      <x:c r="H12" s="86"/>
    </x:row>
    <x:row r="13" ht="27" customHeight="1">
      <x:c r="A13" s="86"/>
      <x:c r="B13" s="86"/>
      <x:c r="C13" s="86"/>
      <x:c r="D13" s="86"/>
      <x:c r="E13" s="86"/>
      <x:c r="F13" s="86"/>
      <x:c r="G13" s="86"/>
      <x:c r="H13" s="86"/>
      <x:c r="I13"/>
    </x:row>
    <x:row r="14" ht="24" customHeight="1">
      <x:c r="A14"/>
      <x:c r="B14"/>
      <x:c r="C14"/>
      <x:c r="D14"/>
      <x:c r="E14"/>
      <x:c r="F14"/>
      <x:c r="G14"/>
      <x:c r="H14"/>
      <x:c r="I14"/>
    </x:row>
    <x:row r="15" ht="24" customHeight="1">
      <x:c r="A15"/>
      <x:c r="B15"/>
      <x:c r="C15"/>
      <x:c r="D15"/>
      <x:c r="E15"/>
      <x:c r="F15"/>
      <x:c r="G15"/>
      <x:c r="H15"/>
      <x:c r="I15"/>
    </x:row>
  </x:sheetData>
  <x:mergeCells>
    <x:mergeCell ref="A1:I2"/>
    <x:mergeCell ref="A4:I4"/>
    <x:mergeCell ref="F6:I6"/>
    <x:mergeCell ref="A13:I15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19" hidden="0" customWidth="1"/>
    <x:col min="14" max="14" width="12" hidden="0" customWidth="1"/>
  </x:cols>
  <x:sheetData>
    <x:row r="1">
      <x:c r="A1" s="62" t="str">
        <x:v>Почастотное сравнение выбранных профилей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/>
      <x:c r="N1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/>
      <x:c r="N2"/>
    </x:row>
    <x:row r="4">
      <x:c r="A4" s="68" t="str">
        <x:v>Частота</x:v>
      </x:c>
      <x:c r="B4" s="68" t="str">
        <x:v>Идеал, дБ</x:v>
      </x:c>
      <x:c r="C4" s="68" t="str">
        <x:v>Кандидат 1, дБ</x:v>
      </x:c>
      <x:c r="D4" s="68" t="str">
        <x:v>|Кандидат 1|</x:v>
      </x:c>
      <x:c r="E4" s="68" t="str">
        <x:v>Предыдущий: TA 40/0, дБ</x:v>
      </x:c>
      <x:c r="F4" s="68" t="str">
        <x:v>|Предыдущий|</x:v>
      </x:c>
      <x:c r="G4" s="68" t="str">
        <x:v>Текущий: TA 51/0 + Q2,5, дБ</x:v>
      </x:c>
      <x:c r="H4" s="68" t="str">
        <x:v>|Текущий|</x:v>
      </x:c>
      <x:c r="I4" s="68" t="str">
        <x:v>Улучшение к кандидату 1</x:v>
      </x:c>
      <x:c r="J4" s="68" t="str">
        <x:v>Изменение к предыдущему</x:v>
      </x:c>
      <x:c r="K4" s="68" t="str">
        <x:v>Статус</x:v>
      </x:c>
      <x:c r="L4" s="68" t="str">
        <x:v>100–18k</x:v>
      </x:c>
    </x:row>
    <x:row r="5">
      <x:c r="A5" s="71" t="str">
        <x:v>100</x:v>
      </x:c>
      <x:c r="B5" s="72" t="n">
        <x:f>'Исходные данные'!C12</x:f>
        <x:v>6.245865203862803</x:v>
      </x:c>
      <x:c r="C5" s="72" t="n">
        <x:f>'Исходные данные'!D12</x:f>
        <x:v>-5.844395975817605</x:v>
      </x:c>
      <x:c r="D5" s="72" t="n">
        <x:f>ABS(C5-B5)</x:f>
        <x:v>12.090261179680407</x:v>
      </x:c>
      <x:c r="E5" s="72" t="n">
        <x:f>'Исходные данные'!H12</x:f>
        <x:v>-1.2278495270808236</x:v>
      </x:c>
      <x:c r="F5" s="72" t="n">
        <x:f>ABS(E5-B5)</x:f>
        <x:v>7.473714730943627</x:v>
      </x:c>
      <x:c r="G5" s="72" t="n">
        <x:f>'Исходные данные'!L12</x:f>
        <x:v>4.397168510373335</x:v>
      </x:c>
      <x:c r="H5" s="72" t="n">
        <x:f>ABS(G5-B5)</x:f>
        <x:v>1.848696693489468</x:v>
      </x:c>
      <x:c r="I5" s="72" t="n">
        <x:f>D5-H5</x:f>
        <x:v>10.241564486190939</x:v>
      </x:c>
      <x:c r="J5" s="72" t="n">
        <x:f>G5-E5</x:f>
        <x:v>5.625018037454159</x:v>
      </x:c>
      <x:c r="K5" s="71" t="str">
        <x:f>IF(H5&lt;F5-0.1,"Лучше",IF(H5&gt;F5+0.1,"Хуже","Без изменений"))</x:f>
        <x:v>Лучше</x:v>
      </x:c>
      <x:c r="L5" s="71" t="str">
        <x:v>Да</x:v>
      </x:c>
      <x:c r="M5"/>
      <x:c r="N5"/>
    </x:row>
    <x:row r="6">
      <x:c r="A6" s="71" t="str">
        <x:v>125</x:v>
      </x:c>
      <x:c r="B6" s="72" t="n">
        <x:f>'Исходные данные'!C13</x:f>
        <x:v>5.290030919878225</x:v>
      </x:c>
      <x:c r="C6" s="72" t="n">
        <x:f>'Исходные данные'!D13</x:f>
        <x:v>-6.861828995757644</x:v>
      </x:c>
      <x:c r="D6" s="72" t="n">
        <x:f>ABS(C6-B6)</x:f>
        <x:v>12.15185991563587</x:v>
      </x:c>
      <x:c r="E6" s="72" t="n">
        <x:f>'Исходные данные'!H13</x:f>
        <x:v>-2.040827110301489</x:v>
      </x:c>
      <x:c r="F6" s="72" t="n">
        <x:f>ABS(E6-B6)</x:f>
        <x:v>7.330858030179714</x:v>
      </x:c>
      <x:c r="G6" s="72" t="n">
        <x:f>'Исходные данные'!L13</x:f>
        <x:v>4.0951275822733635</x:v>
      </x:c>
      <x:c r="H6" s="72" t="n">
        <x:f>ABS(G6-B6)</x:f>
        <x:v>1.1949033376048614</x:v>
      </x:c>
      <x:c r="I6" s="72" t="n">
        <x:f>D6-H6</x:f>
        <x:v>10.956956578031008</x:v>
      </x:c>
      <x:c r="J6" s="72" t="n">
        <x:f>G6-E6</x:f>
        <x:v>6.1359546925748525</x:v>
      </x:c>
      <x:c r="K6" s="71" t="str">
        <x:f>IF(H6&lt;F6-0.1,"Лучше",IF(H6&gt;F6+0.1,"Хуже","Без изменений"))</x:f>
        <x:v>Лучше</x:v>
      </x:c>
      <x:c r="L6" s="71" t="str">
        <x:v>Да</x:v>
      </x:c>
      <x:c r="M6"/>
      <x:c r="N6"/>
    </x:row>
    <x:row r="7">
      <x:c r="A7" s="71" t="str">
        <x:v>160</x:v>
      </x:c>
      <x:c r="B7" s="72" t="n">
        <x:f>'Исходные данные'!C14</x:f>
        <x:v>4.127895566441997</x:v>
      </x:c>
      <x:c r="C7" s="72" t="n">
        <x:f>'Исходные данные'!D14</x:f>
        <x:v>-7.5327303093103275</x:v>
      </x:c>
      <x:c r="D7" s="72" t="n">
        <x:f>ABS(C7-B7)</x:f>
        <x:v>11.660625875752324</x:v>
      </x:c>
      <x:c r="E7" s="72" t="n">
        <x:f>'Исходные данные'!H14</x:f>
        <x:v>-6.886034898531279</x:v>
      </x:c>
      <x:c r="F7" s="72" t="n">
        <x:f>ABS(E7-B7)</x:f>
        <x:v>11.013930464973276</x:v>
      </x:c>
      <x:c r="G7" s="72" t="n">
        <x:f>'Исходные данные'!L14</x:f>
        <x:v>0.5781994792949945</x:v>
      </x:c>
      <x:c r="H7" s="72" t="n">
        <x:f>ABS(G7-B7)</x:f>
        <x:v>3.5496960871470025</x:v>
      </x:c>
      <x:c r="I7" s="72" t="n">
        <x:f>D7-H7</x:f>
        <x:v>8.110929788605322</x:v>
      </x:c>
      <x:c r="J7" s="72" t="n">
        <x:f>G7-E7</x:f>
        <x:v>7.464234377826274</x:v>
      </x:c>
      <x:c r="K7" s="71" t="str">
        <x:f>IF(H7&lt;F7-0.1,"Лучше",IF(H7&gt;F7+0.1,"Хуже","Без изменений"))</x:f>
        <x:v>Лучше</x:v>
      </x:c>
      <x:c r="L7" s="71" t="str">
        <x:v>Да</x:v>
      </x:c>
      <x:c r="M7"/>
      <x:c r="N7"/>
    </x:row>
    <x:row r="8">
      <x:c r="A8" s="71" t="str">
        <x:v>200</x:v>
      </x:c>
      <x:c r="B8" s="72" t="n">
        <x:f>'Исходные данные'!C15</x:f>
        <x:v>3.0098728966154145</x:v>
      </x:c>
      <x:c r="C8" s="72" t="n">
        <x:f>'Исходные данные'!D15</x:f>
        <x:v>-2.1931884234586327</x:v>
      </x:c>
      <x:c r="D8" s="72" t="n">
        <x:f>ABS(C8-B8)</x:f>
        <x:v>5.203061320074047</x:v>
      </x:c>
      <x:c r="E8" s="72" t="n">
        <x:f>'Исходные данные'!H15</x:f>
        <x:v>-0.5847338670127543</x:v>
      </x:c>
      <x:c r="F8" s="72" t="n">
        <x:f>ABS(E8-B8)</x:f>
        <x:v>3.594606763628169</x:v>
      </x:c>
      <x:c r="G8" s="72" t="n">
        <x:f>'Исходные данные'!L15</x:f>
        <x:v>5.920674355776209</x:v>
      </x:c>
      <x:c r="H8" s="72" t="n">
        <x:f>ABS(G8-B8)</x:f>
        <x:v>2.910801459160795</x:v>
      </x:c>
      <x:c r="I8" s="72" t="n">
        <x:f>D8-H8</x:f>
        <x:v>2.2922598609132523</x:v>
      </x:c>
      <x:c r="J8" s="72" t="n">
        <x:f>G8-E8</x:f>
        <x:v>6.505408222788963</x:v>
      </x:c>
      <x:c r="K8" s="71" t="str">
        <x:f>IF(H8&lt;F8-0.1,"Лучше",IF(H8&gt;F8+0.1,"Хуже","Без изменений"))</x:f>
        <x:v>Лучше</x:v>
      </x:c>
      <x:c r="L8" s="71" t="str">
        <x:v>Да</x:v>
      </x:c>
      <x:c r="M8"/>
      <x:c r="N8"/>
    </x:row>
    <x:row r="9">
      <x:c r="A9" s="71" t="str">
        <x:v>250</x:v>
      </x:c>
      <x:c r="B9" s="72" t="n">
        <x:f>'Исходные данные'!C16</x:f>
        <x:v>2.1523533541787105</x:v>
      </x:c>
      <x:c r="C9" s="72" t="n">
        <x:f>'Исходные данные'!D16</x:f>
        <x:v>-3.456955157257511</x:v>
      </x:c>
      <x:c r="D9" s="72" t="n">
        <x:f>ABS(C9-B9)</x:f>
        <x:v>5.609308511436222</x:v>
      </x:c>
      <x:c r="E9" s="72" t="n">
        <x:f>'Исходные данные'!H16</x:f>
        <x:v>-4.1393448596021</x:v>
      </x:c>
      <x:c r="F9" s="72" t="n">
        <x:f>ABS(E9-B9)</x:f>
        <x:v>6.29169821378081</x:v>
      </x:c>
      <x:c r="G9" s="72" t="n">
        <x:f>'Исходные данные'!L16</x:f>
        <x:v>2.4158707717652206</x:v>
      </x:c>
      <x:c r="H9" s="72" t="n">
        <x:f>ABS(G9-B9)</x:f>
        <x:v>0.26351741758651004</x:v>
      </x:c>
      <x:c r="I9" s="72" t="n">
        <x:f>D9-H9</x:f>
        <x:v>5.345791093849712</x:v>
      </x:c>
      <x:c r="J9" s="72" t="n">
        <x:f>G9-E9</x:f>
        <x:v>6.555215631367321</x:v>
      </x:c>
      <x:c r="K9" s="71" t="str">
        <x:f>IF(H9&lt;F9-0.1,"Лучше",IF(H9&gt;F9+0.1,"Хуже","Без изменений"))</x:f>
        <x:v>Лучше</x:v>
      </x:c>
      <x:c r="L9" s="71" t="str">
        <x:v>Да</x:v>
      </x:c>
      <x:c r="M9"/>
      <x:c r="N9"/>
    </x:row>
    <x:row r="10">
      <x:c r="A10" s="71" t="str">
        <x:v>315</x:v>
      </x:c>
      <x:c r="B10" s="72" t="n">
        <x:f>'Исходные данные'!C17</x:f>
        <x:v>1.3618249367556643</x:v>
      </x:c>
      <x:c r="C10" s="72" t="n">
        <x:f>'Исходные данные'!D17</x:f>
        <x:v>-7.335446235751018</x:v>
      </x:c>
      <x:c r="D10" s="72" t="n">
        <x:f>ABS(C10-B10)</x:f>
        <x:v>8.697271172506682</x:v>
      </x:c>
      <x:c r="E10" s="72" t="n">
        <x:f>'Исходные данные'!H17</x:f>
        <x:v>-4.523256556424354</x:v>
      </x:c>
      <x:c r="F10" s="72" t="n">
        <x:f>ABS(E10-B10)</x:f>
        <x:v>5.885081493180018</x:v>
      </x:c>
      <x:c r="G10" s="72" t="n">
        <x:f>'Исходные данные'!L17</x:f>
        <x:v>1.0941516217350429</x:v>
      </x:c>
      <x:c r="H10" s="72" t="n">
        <x:f>ABS(G10-B10)</x:f>
        <x:v>0.2676733150206214</x:v>
      </x:c>
      <x:c r="I10" s="72" t="n">
        <x:f>D10-H10</x:f>
        <x:v>8.42959785748606</x:v>
      </x:c>
      <x:c r="J10" s="72" t="n">
        <x:f>G10-E10</x:f>
        <x:v>5.617408178159397</x:v>
      </x:c>
      <x:c r="K10" s="71" t="str">
        <x:f>IF(H10&lt;F10-0.1,"Лучше",IF(H10&gt;F10+0.1,"Хуже","Без изменений"))</x:f>
        <x:v>Лучше</x:v>
      </x:c>
      <x:c r="L10" s="71" t="str">
        <x:v>Да</x:v>
      </x:c>
      <x:c r="M10"/>
      <x:c r="N10"/>
    </x:row>
    <x:row r="11">
      <x:c r="A11" s="71" t="str">
        <x:v>400</x:v>
      </x:c>
      <x:c r="B11" s="72" t="n">
        <x:f>'Исходные данные'!C18</x:f>
        <x:v>0.843827780209976</x:v>
      </x:c>
      <x:c r="C11" s="72" t="n">
        <x:f>'Исходные данные'!D18</x:f>
        <x:v>-9.22921120174393</x:v>
      </x:c>
      <x:c r="D11" s="72" t="n">
        <x:f>ABS(C11-B11)</x:f>
        <x:v>10.073038981953905</x:v>
      </x:c>
      <x:c r="E11" s="72" t="n">
        <x:f>'Исходные данные'!H18</x:f>
        <x:v>-9.487741979904678</x:v>
      </x:c>
      <x:c r="F11" s="72" t="n">
        <x:f>ABS(E11-B11)</x:f>
        <x:v>10.331569760114654</x:v>
      </x:c>
      <x:c r="G11" s="72" t="n">
        <x:f>'Исходные данные'!L18</x:f>
        <x:v>-5.4288964597053315</x:v>
      </x:c>
      <x:c r="H11" s="72" t="n">
        <x:f>ABS(G11-B11)</x:f>
        <x:v>6.272724239915307</x:v>
      </x:c>
      <x:c r="I11" s="72" t="n">
        <x:f>D11-H11</x:f>
        <x:v>3.800314742038598</x:v>
      </x:c>
      <x:c r="J11" s="72" t="n">
        <x:f>G11-E11</x:f>
        <x:v>4.0588455201993465</x:v>
      </x:c>
      <x:c r="K11" s="71" t="str">
        <x:f>IF(H11&lt;F11-0.1,"Лучше",IF(H11&gt;F11+0.1,"Хуже","Без изменений"))</x:f>
        <x:v>Лучше</x:v>
      </x:c>
      <x:c r="L11" s="71" t="str">
        <x:v>Да</x:v>
      </x:c>
      <x:c r="M11"/>
      <x:c r="N11"/>
    </x:row>
    <x:row r="12">
      <x:c r="A12" s="71" t="str">
        <x:v>500</x:v>
      </x:c>
      <x:c r="B12" s="72" t="n">
        <x:f>'Исходные данные'!C19</x:f>
        <x:v>0.497447603528511</x:v>
      </x:c>
      <x:c r="C12" s="72" t="n">
        <x:f>'Исходные данные'!D19</x:f>
        <x:v>-6.870591922848227</x:v>
      </x:c>
      <x:c r="D12" s="72" t="n">
        <x:f>ABS(C12-B12)</x:f>
        <x:v>7.368039526376738</x:v>
      </x:c>
      <x:c r="E12" s="72" t="n">
        <x:f>'Исходные данные'!H19</x:f>
        <x:v>-8.541408541151135</x:v>
      </x:c>
      <x:c r="F12" s="72" t="n">
        <x:f>ABS(E12-B12)</x:f>
        <x:v>9.038856144679647</x:v>
      </x:c>
      <x:c r="G12" s="72" t="n">
        <x:f>'Исходные данные'!L19</x:f>
        <x:v>-7.433038179066309</x:v>
      </x:c>
      <x:c r="H12" s="72" t="n">
        <x:f>ABS(G12-B12)</x:f>
        <x:v>7.93048578259482</x:v>
      </x:c>
      <x:c r="I12" s="72" t="n">
        <x:f>D12-H12</x:f>
        <x:v>-0.5624462562180819</x:v>
      </x:c>
      <x:c r="J12" s="72" t="n">
        <x:f>G12-E12</x:f>
        <x:v>1.108370362084826</x:v>
      </x:c>
      <x:c r="K12" s="71" t="str">
        <x:f>IF(H12&lt;F12-0.1,"Лучше",IF(H12&gt;F12+0.1,"Хуже","Без изменений"))</x:f>
        <x:v>Лучше</x:v>
      </x:c>
      <x:c r="L12" s="71" t="str">
        <x:v>Да</x:v>
      </x:c>
      <x:c r="M12"/>
      <x:c r="N12"/>
    </x:row>
    <x:row r="13">
      <x:c r="A13" s="71" t="str">
        <x:v>630</x:v>
      </x:c>
      <x:c r="B13" s="72" t="n">
        <x:f>'Исходные данные'!C20</x:f>
        <x:v>0.30633153528415064</x:v>
      </x:c>
      <x:c r="C13" s="72" t="n">
        <x:f>'Исходные данные'!D20</x:f>
        <x:v>-2.610298778744525</x:v>
      </x:c>
      <x:c r="D13" s="72" t="n">
        <x:f>ABS(C13-B13)</x:f>
        <x:v>2.9166303140286756</x:v>
      </x:c>
      <x:c r="E13" s="72" t="n">
        <x:f>'Исходные данные'!H20</x:f>
        <x:v>-14.566206804216856</x:v>
      </x:c>
      <x:c r="F13" s="72" t="n">
        <x:f>ABS(E13-B13)</x:f>
        <x:v>14.872538339501007</x:v>
      </x:c>
      <x:c r="G13" s="72" t="n">
        <x:f>'Исходные данные'!L20</x:f>
        <x:v>-5.418263406894506</x:v>
      </x:c>
      <x:c r="H13" s="72" t="n">
        <x:f>ABS(G13-B13)</x:f>
        <x:v>5.724594942178657</x:v>
      </x:c>
      <x:c r="I13" s="72" t="n">
        <x:f>D13-H13</x:f>
        <x:v>-2.807964628149981</x:v>
      </x:c>
      <x:c r="J13" s="72" t="n">
        <x:f>G13-E13</x:f>
        <x:v>9.14794339732235</x:v>
      </x:c>
      <x:c r="K13" s="71" t="str">
        <x:f>IF(H13&lt;F13-0.1,"Лучше",IF(H13&gt;F13+0.1,"Хуже","Без изменений"))</x:f>
        <x:v>Лучше</x:v>
      </x:c>
      <x:c r="L13" s="71" t="str">
        <x:v>Да</x:v>
      </x:c>
      <x:c r="M13"/>
      <x:c r="N13"/>
    </x:row>
    <x:row r="14">
      <x:c r="A14" s="71" t="str">
        <x:v>800</x:v>
      </x:c>
      <x:c r="B14" s="72" t="n">
        <x:f>'Исходные данные'!C21</x:f>
        <x:v>0.16939146169255118</x:v>
      </x:c>
      <x:c r="C14" s="72" t="n">
        <x:f>'Исходные данные'!D21</x:f>
        <x:v>1.9233606276420971</x:v>
      </x:c>
      <x:c r="D14" s="72" t="n">
        <x:f>ABS(C14-B14)</x:f>
        <x:v>1.753969165949546</x:v>
      </x:c>
      <x:c r="E14" s="72" t="n">
        <x:f>'Исходные данные'!H21</x:f>
        <x:v>1.159223065602638</x:v>
      </x:c>
      <x:c r="F14" s="72" t="n">
        <x:f>ABS(E14-B14)</x:f>
        <x:v>0.989831603910087</x:v>
      </x:c>
      <x:c r="G14" s="72" t="n">
        <x:f>'Исходные данные'!L21</x:f>
        <x:v>1.3899400153610155</x:v>
      </x:c>
      <x:c r="H14" s="72" t="n">
        <x:f>ABS(G14-B14)</x:f>
        <x:v>1.2205485536684644</x:v>
      </x:c>
      <x:c r="I14" s="72" t="n">
        <x:f>D14-H14</x:f>
        <x:v>0.5334206122810816</x:v>
      </x:c>
      <x:c r="J14" s="72" t="n">
        <x:f>G14-E14</x:f>
        <x:v>0.23071694975837742</x:v>
      </x:c>
      <x:c r="K14" s="71" t="str">
        <x:f>IF(H14&lt;F14-0.1,"Лучше",IF(H14&gt;F14+0.1,"Хуже","Без изменений"))</x:f>
        <x:v>Хуже</x:v>
      </x:c>
      <x:c r="L14" s="71" t="str">
        <x:v>Да</x:v>
      </x:c>
      <x:c r="M14"/>
      <x:c r="N14"/>
    </x:row>
    <x:row r="15">
      <x:c r="A15" s="71" t="str">
        <x:v>1k</x:v>
      </x:c>
      <x:c r="B15" s="72" t="n">
        <x:f>'Исходные данные'!C22</x:f>
        <x:v>0</x:v>
      </x:c>
      <x:c r="C15" s="72" t="n">
        <x:f>'Исходные данные'!D22</x:f>
        <x:v>0.8182704157120106</x:v>
      </x:c>
      <x:c r="D15" s="72" t="n">
        <x:f>ABS(C15-B15)</x:f>
        <x:v>0.8182704157120106</x:v>
      </x:c>
      <x:c r="E15" s="72" t="n">
        <x:f>'Исходные данные'!H22</x:f>
        <x:v>5.311942655795456</x:v>
      </x:c>
      <x:c r="F15" s="72" t="n">
        <x:f>ABS(E15-B15)</x:f>
        <x:v>5.311942655795456</x:v>
      </x:c>
      <x:c r="G15" s="72" t="n">
        <x:f>'Исходные данные'!L22</x:f>
        <x:v>5.056643357664307</x:v>
      </x:c>
      <x:c r="H15" s="72" t="n">
        <x:f>ABS(G15-B15)</x:f>
        <x:v>5.056643357664307</x:v>
      </x:c>
      <x:c r="I15" s="72" t="n">
        <x:f>D15-H15</x:f>
        <x:v>-4.238372941952297</x:v>
      </x:c>
      <x:c r="J15" s="72" t="n">
        <x:f>G15-E15</x:f>
        <x:v>-0.25529929813114904</x:v>
      </x:c>
      <x:c r="K15" s="71" t="str">
        <x:f>IF(H15&lt;F15-0.1,"Лучше",IF(H15&gt;F15+0.1,"Хуже","Без изменений"))</x:f>
        <x:v>Лучше</x:v>
      </x:c>
      <x:c r="L15" s="71" t="str">
        <x:v>Да</x:v>
      </x:c>
      <x:c r="M15"/>
      <x:c r="N15"/>
    </x:row>
    <x:row r="16">
      <x:c r="A16" s="71" t="str">
        <x:v>1.25k</x:v>
      </x:c>
      <x:c r="B16" s="72" t="n">
        <x:f>'Исходные данные'!C23</x:f>
        <x:v>-0.2542440516263483</x:v>
      </x:c>
      <x:c r="C16" s="72" t="n">
        <x:f>'Исходные данные'!D23</x:f>
        <x:v>-3.692276936001427</x:v>
      </x:c>
      <x:c r="D16" s="72" t="n">
        <x:f>ABS(C16-B16)</x:f>
        <x:v>3.4380328843750787</x:v>
      </x:c>
      <x:c r="E16" s="72" t="n">
        <x:f>'Исходные данные'!H23</x:f>
        <x:v>1.7937767150417414</x:v>
      </x:c>
      <x:c r="F16" s="72" t="n">
        <x:f>ABS(E16-B16)</x:f>
        <x:v>2.0480207666680896</x:v>
      </x:c>
      <x:c r="G16" s="72" t="n">
        <x:f>'Исходные данные'!L23</x:f>
        <x:v>-1.9854857118700007</x:v>
      </x:c>
      <x:c r="H16" s="72" t="n">
        <x:f>ABS(G16-B16)</x:f>
        <x:v>1.7312416602436524</x:v>
      </x:c>
      <x:c r="I16" s="72" t="n">
        <x:f>D16-H16</x:f>
        <x:v>1.7067912241314263</x:v>
      </x:c>
      <x:c r="J16" s="72" t="n">
        <x:f>G16-E16</x:f>
        <x:v>-3.779262426911742</x:v>
      </x:c>
      <x:c r="K16" s="71" t="str">
        <x:f>IF(H16&lt;F16-0.1,"Лучше",IF(H16&gt;F16+0.1,"Хуже","Без изменений"))</x:f>
        <x:v>Лучше</x:v>
      </x:c>
      <x:c r="L16" s="71" t="str">
        <x:v>Да</x:v>
      </x:c>
      <x:c r="M16"/>
      <x:c r="N16"/>
    </x:row>
    <x:row r="17">
      <x:c r="A17" s="71" t="str">
        <x:v>1.6k</x:v>
      </x:c>
      <x:c r="B17" s="72" t="n">
        <x:f>'Исходные данные'!C24</x:f>
        <x:v>-0.5920295488963975</x:v>
      </x:c>
      <x:c r="C17" s="72" t="n">
        <x:f>'Исходные данные'!D24</x:f>
        <x:v>-0.5920295488963987</x:v>
      </x:c>
      <x:c r="D17" s="72" t="n">
        <x:f>ABS(C17-B17)</x:f>
        <x:v>1.2212453270876722e-15</x:v>
      </x:c>
      <x:c r="E17" s="72" t="n">
        <x:f>'Исходные данные'!H24</x:f>
        <x:v>-0.014406404017481242</x:v>
      </x:c>
      <x:c r="F17" s="72" t="n">
        <x:f>ABS(E17-B17)</x:f>
        <x:v>0.5776231448789162</x:v>
      </x:c>
      <x:c r="G17" s="72" t="n">
        <x:f>'Исходные данные'!L24</x:f>
        <x:v>1.0188046826266195</x:v>
      </x:c>
      <x:c r="H17" s="72" t="n">
        <x:f>ABS(G17-B17)</x:f>
        <x:v>1.6108342315230169</x:v>
      </x:c>
      <x:c r="I17" s="72" t="n">
        <x:f>D17-H17</x:f>
        <x:v>-1.6108342315230155</x:v>
      </x:c>
      <x:c r="J17" s="72" t="n">
        <x:f>G17-E17</x:f>
        <x:v>1.0332110866441007</x:v>
      </x:c>
      <x:c r="K17" s="71" t="str">
        <x:f>IF(H17&lt;F17-0.1,"Лучше",IF(H17&gt;F17+0.1,"Хуже","Без изменений"))</x:f>
        <x:v>Хуже</x:v>
      </x:c>
      <x:c r="L17" s="71" t="str">
        <x:v>Да</x:v>
      </x:c>
      <x:c r="M17"/>
      <x:c r="N17"/>
    </x:row>
    <x:row r="18">
      <x:c r="A18" s="71" t="str">
        <x:v>2k</x:v>
      </x:c>
      <x:c r="B18" s="72" t="n">
        <x:f>'Исходные данные'!C25</x:f>
        <x:v>-1.055344785492358</x:v>
      </x:c>
      <x:c r="C18" s="72" t="n">
        <x:f>'Исходные данные'!D25</x:f>
        <x:v>3.296404616631186</x:v>
      </x:c>
      <x:c r="D18" s="72" t="n">
        <x:f>ABS(C18-B18)</x:f>
        <x:v>4.351749402123544</x:v>
      </x:c>
      <x:c r="E18" s="72" t="n">
        <x:f>'Исходные данные'!H25</x:f>
        <x:v>-1.3562069490864754</x:v>
      </x:c>
      <x:c r="F18" s="72" t="n">
        <x:f>ABS(E18-B18)</x:f>
        <x:v>0.3008621635941173</x:v>
      </x:c>
      <x:c r="G18" s="72" t="n">
        <x:f>'Исходные данные'!L25</x:f>
        <x:v>1.8162992366544148</x:v>
      </x:c>
      <x:c r="H18" s="72" t="n">
        <x:f>ABS(G18-B18)</x:f>
        <x:v>2.871644022146773</x:v>
      </x:c>
      <x:c r="I18" s="72" t="n">
        <x:f>D18-H18</x:f>
        <x:v>1.480105379976771</x:v>
      </x:c>
      <x:c r="J18" s="72" t="n">
        <x:f>G18-E18</x:f>
        <x:v>3.1725061857408905</x:v>
      </x:c>
      <x:c r="K18" s="71" t="str">
        <x:f>IF(H18&lt;F18-0.1,"Лучше",IF(H18&gt;F18+0.1,"Хуже","Без изменений"))</x:f>
        <x:v>Хуже</x:v>
      </x:c>
      <x:c r="L18" s="71" t="str">
        <x:v>Да</x:v>
      </x:c>
      <x:c r="M18"/>
      <x:c r="N18"/>
    </x:row>
    <x:row r="19">
      <x:c r="A19" s="71" t="str">
        <x:v>2.5k</x:v>
      </x:c>
      <x:c r="B19" s="72" t="n">
        <x:f>'Исходные данные'!C26</x:f>
        <x:v>-1.509704222146186</x:v>
      </x:c>
      <x:c r="C19" s="72" t="n">
        <x:f>'Исходные данные'!D26</x:f>
        <x:v>3.0000056669868584</x:v>
      </x:c>
      <x:c r="D19" s="72" t="n">
        <x:f>ABS(C19-B19)</x:f>
        <x:v>4.5097098891330445</x:v>
      </x:c>
      <x:c r="E19" s="72" t="n">
        <x:f>'Исходные данные'!H26</x:f>
        <x:v>-3.312785632952835</x:v>
      </x:c>
      <x:c r="F19" s="72" t="n">
        <x:f>ABS(E19-B19)</x:f>
        <x:v>1.8030814108066489</x:v>
      </x:c>
      <x:c r="G19" s="72" t="n">
        <x:f>'Исходные данные'!L26</x:f>
        <x:v>-1.5127512336164333</x:v>
      </x:c>
      <x:c r="H19" s="72" t="n">
        <x:f>ABS(G19-B19)</x:f>
        <x:v>0.0030470114702472184</x:v>
      </x:c>
      <x:c r="I19" s="72" t="n">
        <x:f>D19-H19</x:f>
        <x:v>4.506662877662797</x:v>
      </x:c>
      <x:c r="J19" s="72" t="n">
        <x:f>G19-E19</x:f>
        <x:v>1.8000343993364016</x:v>
      </x:c>
      <x:c r="K19" s="71" t="str">
        <x:f>IF(H19&lt;F19-0.1,"Лучше",IF(H19&gt;F19+0.1,"Хуже","Без изменений"))</x:f>
        <x:v>Лучше</x:v>
      </x:c>
      <x:c r="L19" s="71" t="str">
        <x:v>Да</x:v>
      </x:c>
      <x:c r="M19"/>
      <x:c r="N19"/>
    </x:row>
    <x:row r="20">
      <x:c r="A20" s="71" t="str">
        <x:v>3.15k</x:v>
      </x:c>
      <x:c r="B20" s="72" t="n">
        <x:f>'Исходные данные'!C27</x:f>
        <x:v>-1.9982899107710275</x:v>
      </x:c>
      <x:c r="C20" s="72" t="n">
        <x:f>'Исходные данные'!D27</x:f>
        <x:v>7.0232825310461635</x:v>
      </x:c>
      <x:c r="D20" s="72" t="n">
        <x:f>ABS(C20-B20)</x:f>
        <x:v>9.021572441817192</x:v>
      </x:c>
      <x:c r="E20" s="72" t="n">
        <x:f>'Исходные данные'!H27</x:f>
        <x:v>-0.15073610700364112</x:v>
      </x:c>
      <x:c r="F20" s="72" t="n">
        <x:f>ABS(E20-B20)</x:f>
        <x:v>1.8475538037673864</x:v>
      </x:c>
      <x:c r="G20" s="72" t="n">
        <x:f>'Исходные данные'!L27</x:f>
        <x:v>0.0836750333407797</x:v>
      </x:c>
      <x:c r="H20" s="72" t="n">
        <x:f>ABS(G20-B20)</x:f>
        <x:v>2.081964944111807</x:v>
      </x:c>
      <x:c r="I20" s="72" t="n">
        <x:f>D20-H20</x:f>
        <x:v>6.939607497705385</x:v>
      </x:c>
      <x:c r="J20" s="72" t="n">
        <x:f>G20-E20</x:f>
        <x:v>0.23441114034442084</x:v>
      </x:c>
      <x:c r="K20" s="71" t="str">
        <x:f>IF(H20&lt;F20-0.1,"Лучше",IF(H20&gt;F20+0.1,"Хуже","Без изменений"))</x:f>
        <x:v>Хуже</x:v>
      </x:c>
      <x:c r="L20" s="71" t="str">
        <x:v>Да</x:v>
      </x:c>
      <x:c r="M20"/>
      <x:c r="N20"/>
    </x:row>
    <x:row r="21">
      <x:c r="A21" s="71" t="str">
        <x:v>4k</x:v>
      </x:c>
      <x:c r="B21" s="72" t="n">
        <x:f>'Исходные данные'!C28</x:f>
        <x:v>-2.4908220585554752</x:v>
      </x:c>
      <x:c r="C21" s="72" t="n">
        <x:f>'Исходные данные'!D28</x:f>
        <x:v>10.670316392110578</x:v>
      </x:c>
      <x:c r="D21" s="72" t="n">
        <x:f>ABS(C21-B21)</x:f>
        <x:v>13.161138450666053</x:v>
      </x:c>
      <x:c r="E21" s="72" t="n">
        <x:f>'Исходные данные'!H28</x:f>
        <x:v>-1.2528362629448981</x:v>
      </x:c>
      <x:c r="F21" s="72" t="n">
        <x:f>ABS(E21-B21)</x:f>
        <x:v>1.237985795610577</x:v>
      </x:c>
      <x:c r="G21" s="72" t="n">
        <x:f>'Исходные данные'!L28</x:f>
        <x:v>3.2641137218012823</x:v>
      </x:c>
      <x:c r="H21" s="72" t="n">
        <x:f>ABS(G21-B21)</x:f>
        <x:v>5.754935780356758</x:v>
      </x:c>
      <x:c r="I21" s="72" t="n">
        <x:f>D21-H21</x:f>
        <x:v>7.406202670309296</x:v>
      </x:c>
      <x:c r="J21" s="72" t="n">
        <x:f>G21-E21</x:f>
        <x:v>4.51694998474618</x:v>
      </x:c>
      <x:c r="K21" s="71" t="str">
        <x:f>IF(H21&lt;F21-0.1,"Лучше",IF(H21&gt;F21+0.1,"Хуже","Без изменений"))</x:f>
        <x:v>Хуже</x:v>
      </x:c>
      <x:c r="L21" s="71" t="str">
        <x:v>Да</x:v>
      </x:c>
      <x:c r="M21"/>
      <x:c r="N21"/>
    </x:row>
    <x:row r="22">
      <x:c r="A22" s="71" t="str">
        <x:v>5k</x:v>
      </x:c>
      <x:c r="B22" s="72" t="n">
        <x:f>'Исходные данные'!C29</x:f>
        <x:v>-2.874148985429187</x:v>
      </x:c>
      <x:c r="C22" s="72" t="n">
        <x:f>'Исходные данные'!D29</x:f>
        <x:v>7.523100417101993</x:v>
      </x:c>
      <x:c r="D22" s="72" t="n">
        <x:f>ABS(C22-B22)</x:f>
        <x:v>10.39724940253118</x:v>
      </x:c>
      <x:c r="E22" s="72" t="n">
        <x:f>'Исходные данные'!H29</x:f>
        <x:v>-0.2771111940765258</x:v>
      </x:c>
      <x:c r="F22" s="72" t="n">
        <x:f>ABS(E22-B22)</x:f>
        <x:v>2.5970377913526614</x:v>
      </x:c>
      <x:c r="G22" s="72" t="n">
        <x:f>'Исходные данные'!L29</x:f>
        <x:v>0.6141790499022264</x:v>
      </x:c>
      <x:c r="H22" s="72" t="n">
        <x:f>ABS(G22-B22)</x:f>
        <x:v>3.4883280353314134</x:v>
      </x:c>
      <x:c r="I22" s="72" t="n">
        <x:f>D22-H22</x:f>
        <x:v>6.908921367199767</x:v>
      </x:c>
      <x:c r="J22" s="72" t="n">
        <x:f>G22-E22</x:f>
        <x:v>0.8912902439787522</x:v>
      </x:c>
      <x:c r="K22" s="71" t="str">
        <x:f>IF(H22&lt;F22-0.1,"Лучше",IF(H22&gt;F22+0.1,"Хуже","Без изменений"))</x:f>
        <x:v>Хуже</x:v>
      </x:c>
      <x:c r="L22" s="71" t="str">
        <x:v>Да</x:v>
      </x:c>
      <x:c r="M22"/>
      <x:c r="N22"/>
    </x:row>
    <x:row r="23">
      <x:c r="A23" s="71" t="str">
        <x:v>6.3k</x:v>
      </x:c>
      <x:c r="B23" s="72" t="n">
        <x:f>'Исходные данные'!C30</x:f>
        <x:v>-3.315925763225187</x:v>
      </x:c>
      <x:c r="C23" s="72" t="n">
        <x:f>'Исходные данные'!D30</x:f>
        <x:v>0.8281610825376404</x:v>
      </x:c>
      <x:c r="D23" s="72" t="n">
        <x:f>ABS(C23-B23)</x:f>
        <x:v>4.1440868457628275</x:v>
      </x:c>
      <x:c r="E23" s="72" t="n">
        <x:f>'Исходные данные'!H30</x:f>
        <x:v>-2.3799230164920586</x:v>
      </x:c>
      <x:c r="F23" s="72" t="n">
        <x:f>ABS(E23-B23)</x:f>
        <x:v>0.9360027467331284</x:v>
      </x:c>
      <x:c r="G23" s="72" t="n">
        <x:f>'Исходные данные'!L30</x:f>
        <x:v>0.1762431527038295</x:v>
      </x:c>
      <x:c r="H23" s="72" t="n">
        <x:f>ABS(G23-B23)</x:f>
        <x:v>3.4921689159290166</x:v>
      </x:c>
      <x:c r="I23" s="72" t="n">
        <x:f>D23-H23</x:f>
        <x:v>0.6519179298338109</x:v>
      </x:c>
      <x:c r="J23" s="72" t="n">
        <x:f>G23-E23</x:f>
        <x:v>2.556166169195888</x:v>
      </x:c>
      <x:c r="K23" s="71" t="str">
        <x:f>IF(H23&lt;F23-0.1,"Лучше",IF(H23&gt;F23+0.1,"Хуже","Без изменений"))</x:f>
        <x:v>Хуже</x:v>
      </x:c>
      <x:c r="L23" s="71" t="str">
        <x:v>Да</x:v>
      </x:c>
      <x:c r="M23"/>
      <x:c r="N23"/>
    </x:row>
    <x:row r="24">
      <x:c r="A24" s="71" t="str">
        <x:v>8k</x:v>
      </x:c>
      <x:c r="B24" s="72" t="n">
        <x:f>'Исходные данные'!C31</x:f>
        <x:v>-3.9776166378622455</x:v>
      </x:c>
      <x:c r="C24" s="72" t="n">
        <x:f>'Исходные данные'!D31</x:f>
        <x:v>2.8986890657567095</x:v>
      </x:c>
      <x:c r="D24" s="72" t="n">
        <x:f>ABS(C24-B24)</x:f>
        <x:v>6.876305703618955</x:v>
      </x:c>
      <x:c r="E24" s="72" t="n">
        <x:f>'Исходные данные'!H31</x:f>
        <x:v>-1.4647528213857484</x:v>
      </x:c>
      <x:c r="F24" s="72" t="n">
        <x:f>ABS(E24-B24)</x:f>
        <x:v>2.5128638164764974</x:v>
      </x:c>
      <x:c r="G24" s="72" t="n">
        <x:f>'Исходные данные'!L31</x:f>
        <x:v>1.148870473372913</x:v>
      </x:c>
      <x:c r="H24" s="72" t="n">
        <x:f>ABS(G24-B24)</x:f>
        <x:v>5.126487111235159</x:v>
      </x:c>
      <x:c r="I24" s="72" t="n">
        <x:f>D24-H24</x:f>
        <x:v>1.7498185923837966</x:v>
      </x:c>
      <x:c r="J24" s="72" t="n">
        <x:f>G24-E24</x:f>
        <x:v>2.6136232947586615</x:v>
      </x:c>
      <x:c r="K24" s="71" t="str">
        <x:f>IF(H24&lt;F24-0.1,"Лучше",IF(H24&gt;F24+0.1,"Хуже","Без изменений"))</x:f>
        <x:v>Хуже</x:v>
      </x:c>
      <x:c r="L24" s="71" t="str">
        <x:v>Да</x:v>
      </x:c>
      <x:c r="M24"/>
      <x:c r="N24"/>
    </x:row>
    <x:row r="25">
      <x:c r="A25" s="71" t="str">
        <x:v>10k</x:v>
      </x:c>
      <x:c r="B25" s="72" t="n">
        <x:f>'Исходные данные'!C32</x:f>
        <x:v>-4.8</x:v>
      </x:c>
      <x:c r="C25" s="72" t="n">
        <x:f>'Исходные данные'!D32</x:f>
        <x:v>-2.400007572428809</x:v>
      </x:c>
      <x:c r="D25" s="72" t="n">
        <x:f>ABS(C25-B25)</x:f>
        <x:v>2.399992427571191</x:v>
      </x:c>
      <x:c r="E25" s="72" t="n">
        <x:f>'Исходные данные'!H32</x:f>
        <x:v>-4.480933311007497</x:v>
      </x:c>
      <x:c r="F25" s="72" t="n">
        <x:f>ABS(E25-B25)</x:f>
        <x:v>0.31906668899250246</x:v>
      </x:c>
      <x:c r="G25" s="72" t="n">
        <x:f>'Исходные данные'!L32</x:f>
        <x:v>0.5669528712614303</x:v>
      </x:c>
      <x:c r="H25" s="72" t="n">
        <x:f>ABS(G25-B25)</x:f>
        <x:v>5.3669528712614305</x:v>
      </x:c>
      <x:c r="I25" s="72" t="n">
        <x:f>D25-H25</x:f>
        <x:v>-2.9669604436902395</x:v>
      </x:c>
      <x:c r="J25" s="72" t="n">
        <x:f>G25-E25</x:f>
        <x:v>5.047886182268928</x:v>
      </x:c>
      <x:c r="K25" s="71" t="str">
        <x:f>IF(H25&lt;F25-0.1,"Лучше",IF(H25&gt;F25+0.1,"Хуже","Без изменений"))</x:f>
        <x:v>Хуже</x:v>
      </x:c>
      <x:c r="L25" s="71" t="str">
        <x:v>Да</x:v>
      </x:c>
      <x:c r="M25"/>
      <x:c r="N25"/>
    </x:row>
    <x:row r="26">
      <x:c r="A26" s="71" t="str">
        <x:v>12.5k</x:v>
      </x:c>
      <x:c r="B26" s="72" t="n">
        <x:f>'Исходные данные'!C33</x:f>
        <x:v>-5.52511064388149</x:v>
      </x:c>
      <x:c r="C26" s="72" t="n">
        <x:f>'Исходные данные'!D33</x:f>
        <x:v>1.4821774472996907</x:v>
      </x:c>
      <x:c r="D26" s="72" t="n">
        <x:f>ABS(C26-B26)</x:f>
        <x:v>7.007288091181181</x:v>
      </x:c>
      <x:c r="E26" s="72" t="n">
        <x:f>'Исходные данные'!H33</x:f>
        <x:v>0.9492793964025074</x:v>
      </x:c>
      <x:c r="F26" s="72" t="n">
        <x:f>ABS(E26-B26)</x:f>
        <x:v>6.474390040283997</x:v>
      </x:c>
      <x:c r="G26" s="72" t="n">
        <x:f>'Исходные данные'!L33</x:f>
        <x:v>5.343988283052532</x:v>
      </x:c>
      <x:c r="H26" s="72" t="n">
        <x:f>ABS(G26-B26)</x:f>
        <x:v>10.869098926934022</x:v>
      </x:c>
      <x:c r="I26" s="72" t="n">
        <x:f>D26-H26</x:f>
        <x:v>-3.8618108357528413</x:v>
      </x:c>
      <x:c r="J26" s="72" t="n">
        <x:f>G26-E26</x:f>
        <x:v>4.394708886650025</x:v>
      </x:c>
      <x:c r="K26" s="71" t="str">
        <x:f>IF(H26&lt;F26-0.1,"Лучше",IF(H26&gt;F26+0.1,"Хуже","Без изменений"))</x:f>
        <x:v>Хуже</x:v>
      </x:c>
      <x:c r="L26" s="71" t="str">
        <x:v>Да</x:v>
      </x:c>
      <x:c r="M26"/>
      <x:c r="N26"/>
    </x:row>
    <x:row r="27">
      <x:c r="A27" s="71" t="str">
        <x:v>16k</x:v>
      </x:c>
      <x:c r="B27" s="72" t="n">
        <x:f>'Исходные данные'!C34</x:f>
        <x:v>-6.452391488385241</x:v>
      </x:c>
      <x:c r="C27" s="72" t="n">
        <x:f>'Исходные данные'!D34</x:f>
        <x:v>-6.467930547363455</x:v>
      </x:c>
      <x:c r="D27" s="72" t="n">
        <x:f>ABS(C27-B27)</x:f>
        <x:v>0.015539058978213838</x:v>
      </x:c>
      <x:c r="E27" s="72" t="n">
        <x:f>'Исходные данные'!H34</x:f>
        <x:v>-3.6039990383349347</x:v>
      </x:c>
      <x:c r="F27" s="72" t="n">
        <x:f>ABS(E27-B27)</x:f>
        <x:v>2.8483924500503064</x:v>
      </x:c>
      <x:c r="G27" s="72" t="n">
        <x:f>'Исходные данные'!L34</x:f>
        <x:v>-2.2201232708217895</x:v>
      </x:c>
      <x:c r="H27" s="72" t="n">
        <x:f>ABS(G27-B27)</x:f>
        <x:v>4.232268217563451</x:v>
      </x:c>
      <x:c r="I27" s="72" t="n">
        <x:f>D27-H27</x:f>
        <x:v>-4.216729158585237</x:v>
      </x:c>
      <x:c r="J27" s="72" t="n">
        <x:f>G27-E27</x:f>
        <x:v>1.3838757675131452</x:v>
      </x:c>
      <x:c r="K27" s="71" t="str">
        <x:f>IF(H27&lt;F27-0.1,"Лучше",IF(H27&gt;F27+0.1,"Хуже","Без изменений"))</x:f>
        <x:v>Хуже</x:v>
      </x:c>
      <x:c r="L27" s="71" t="str">
        <x:v>Да</x:v>
      </x:c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</x:sheetData>
  <x:mergeCells>
    <x:mergeCell ref="A1:N2"/>
  </x:mergeCells>
  <x:conditionalFormatting sqref="K6:K36">
    <x:cfRule type="colorScale" priority="1">
      <x:colorScale>
        <x:cfvo type="min"/>
        <x:cfvo type="num" val="0"/>
        <x:cfvo type="max"/>
        <x:color rgb="FFF4A6A6"/>
        <x:color rgb="FFFFF2CC"/>
        <x:color rgb="FFA9D7B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62" t="str">
        <x:v>Графики сравнения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</x:row>
  </x:sheetData>
  <x:mergeCells>
    <x:mergeCell ref="A1:M2"/>
  </x:mergeCells>
  <x:pageMargins left="0.7" right="0.7" top="0.75" bottom="0.75" header="0.3" footer="0.3"/>
  <x:drawing xmlns:r="http://schemas.openxmlformats.org/officeDocument/2006/relationships" r:id="Rfbfea3f559ba498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4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>
      <x:c r="A1" s="62" t="str">
        <x:v>Данные графиков: выбранные четыре серии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/>
      <x:c r="M1"/>
      <x:c r="N1"/>
      <x:c r="O1"/>
      <x:c r="P1"/>
      <x:c r="Q1"/>
      <x:c r="R1"/>
      <x:c r="S1"/>
      <x:c r="T1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/>
      <x:c r="M2"/>
      <x:c r="N2"/>
      <x:c r="O2"/>
      <x:c r="P2"/>
      <x:c r="Q2"/>
      <x:c r="R2"/>
      <x:c r="S2"/>
      <x:c r="T2"/>
    </x:row>
    <x:row r="4">
      <x:c r="A4" s="68" t="str">
        <x:v>Частота</x:v>
      </x:c>
      <x:c r="B4" s="68" t="str">
        <x:v>Кандидат 1</x:v>
      </x:c>
      <x:c r="C4" s="68" t="str">
        <x:v>Предыдущий: TA 40/0</x:v>
      </x:c>
      <x:c r="D4" s="68" t="str">
        <x:v>Идеал</x:v>
      </x:c>
      <x:c r="E4" s="68" t="str">
        <x:v>Текущий: TA 51/0 + Q2,5</x:v>
      </x:c>
      <x:c r="G4" s="68" t="str">
        <x:v>Частота</x:v>
      </x:c>
      <x:c r="H4" s="68" t="str">
        <x:v>Кандидат 1</x:v>
      </x:c>
      <x:c r="I4" s="68" t="str">
        <x:v>Предыдущий: TA 40/0</x:v>
      </x:c>
      <x:c r="J4" s="68" t="str">
        <x:v>Идеал</x:v>
      </x:c>
      <x:c r="K4" s="68" t="str">
        <x:v>Текущий: TA 51/0 + Q2,5</x:v>
      </x:c>
    </x:row>
    <x:row r="5">
      <x:c r="A5" s="71" t="str">
        <x:f>'Сравнение'!A5</x:f>
        <x:v>100</x:v>
      </x:c>
      <x:c r="B5" s="72" t="n">
        <x:f>'Сравнение'!C5</x:f>
        <x:v>-5.844395975817605</x:v>
      </x:c>
      <x:c r="C5" s="72" t="n">
        <x:f>'Сравнение'!E5</x:f>
        <x:v>-1.2278495270808236</x:v>
      </x:c>
      <x:c r="D5" s="72" t="n">
        <x:f>'Сравнение'!B5</x:f>
        <x:v>6.245865203862803</x:v>
      </x:c>
      <x:c r="E5" s="72" t="n">
        <x:f>'Сравнение'!G5</x:f>
        <x:v>4.397168510373335</x:v>
      </x:c>
      <x:c r="F5"/>
      <x:c r="G5" s="71" t="str">
        <x:f>'Сравнение'!A5</x:f>
        <x:v>100</x:v>
      </x:c>
      <x:c r="H5" s="72" t="n">
        <x:f>'Сравнение'!D5</x:f>
        <x:v>12.090261179680407</x:v>
      </x:c>
      <x:c r="I5" s="72" t="n">
        <x:f>'Сравнение'!F5</x:f>
        <x:v>7.473714730943627</x:v>
      </x:c>
      <x:c r="J5" s="72" t="n">
        <x:f>0</x:f>
        <x:v>0</x:v>
      </x:c>
      <x:c r="K5" s="72" t="n">
        <x:f>'Сравнение'!H5</x:f>
        <x:v>1.848696693489468</x:v>
      </x:c>
      <x:c r="L5"/>
      <x:c r="N5"/>
      <x:c r="O5"/>
      <x:c r="P5"/>
      <x:c r="Q5"/>
      <x:c r="S5"/>
      <x:c r="T5"/>
      <x:c r="U5"/>
      <x:c r="V5"/>
    </x:row>
    <x:row r="6">
      <x:c r="A6" s="71" t="str">
        <x:f>'Сравнение'!A6</x:f>
        <x:v>125</x:v>
      </x:c>
      <x:c r="B6" s="72" t="n">
        <x:f>'Сравнение'!C6</x:f>
        <x:v>-6.861828995757644</x:v>
      </x:c>
      <x:c r="C6" s="72" t="n">
        <x:f>'Сравнение'!E6</x:f>
        <x:v>-2.040827110301489</x:v>
      </x:c>
      <x:c r="D6" s="72" t="n">
        <x:f>'Сравнение'!B6</x:f>
        <x:v>5.290030919878225</x:v>
      </x:c>
      <x:c r="E6" s="72" t="n">
        <x:f>'Сравнение'!G6</x:f>
        <x:v>4.0951275822733635</x:v>
      </x:c>
      <x:c r="F6"/>
      <x:c r="G6" s="71" t="str">
        <x:f>'Сравнение'!A6</x:f>
        <x:v>125</x:v>
      </x:c>
      <x:c r="H6" s="72" t="n">
        <x:f>'Сравнение'!D6</x:f>
        <x:v>12.15185991563587</x:v>
      </x:c>
      <x:c r="I6" s="72" t="n">
        <x:f>'Сравнение'!F6</x:f>
        <x:v>7.330858030179714</x:v>
      </x:c>
      <x:c r="J6" s="72" t="n">
        <x:f>0</x:f>
        <x:v>0</x:v>
      </x:c>
      <x:c r="K6" s="72" t="n">
        <x:f>'Сравнение'!H6</x:f>
        <x:v>1.1949033376048614</x:v>
      </x:c>
      <x:c r="L6"/>
      <x:c r="M6"/>
      <x:c r="N6"/>
      <x:c r="O6"/>
      <x:c r="P6"/>
      <x:c r="Q6"/>
      <x:c r="R6"/>
      <x:c r="S6"/>
      <x:c r="T6"/>
      <x:c r="U6"/>
      <x:c r="V6"/>
    </x:row>
    <x:row r="7">
      <x:c r="A7" s="71" t="str">
        <x:f>'Сравнение'!A7</x:f>
        <x:v>160</x:v>
      </x:c>
      <x:c r="B7" s="72" t="n">
        <x:f>'Сравнение'!C7</x:f>
        <x:v>-7.5327303093103275</x:v>
      </x:c>
      <x:c r="C7" s="72" t="n">
        <x:f>'Сравнение'!E7</x:f>
        <x:v>-6.886034898531279</x:v>
      </x:c>
      <x:c r="D7" s="72" t="n">
        <x:f>'Сравнение'!B7</x:f>
        <x:v>4.127895566441997</x:v>
      </x:c>
      <x:c r="E7" s="72" t="n">
        <x:f>'Сравнение'!G7</x:f>
        <x:v>0.5781994792949945</x:v>
      </x:c>
      <x:c r="F7"/>
      <x:c r="G7" s="71" t="str">
        <x:f>'Сравнение'!A7</x:f>
        <x:v>160</x:v>
      </x:c>
      <x:c r="H7" s="72" t="n">
        <x:f>'Сравнение'!D7</x:f>
        <x:v>11.660625875752324</x:v>
      </x:c>
      <x:c r="I7" s="72" t="n">
        <x:f>'Сравнение'!F7</x:f>
        <x:v>11.013930464973276</x:v>
      </x:c>
      <x:c r="J7" s="72" t="n">
        <x:f>0</x:f>
        <x:v>0</x:v>
      </x:c>
      <x:c r="K7" s="72" t="n">
        <x:f>'Сравнение'!H7</x:f>
        <x:v>3.5496960871470025</x:v>
      </x:c>
      <x:c r="L7"/>
      <x:c r="M7"/>
      <x:c r="N7"/>
      <x:c r="O7"/>
      <x:c r="P7"/>
      <x:c r="Q7"/>
      <x:c r="R7"/>
      <x:c r="S7"/>
      <x:c r="T7"/>
      <x:c r="U7"/>
      <x:c r="V7"/>
    </x:row>
    <x:row r="8">
      <x:c r="A8" s="71" t="str">
        <x:f>'Сравнение'!A8</x:f>
        <x:v>200</x:v>
      </x:c>
      <x:c r="B8" s="72" t="n">
        <x:f>'Сравнение'!C8</x:f>
        <x:v>-2.1931884234586327</x:v>
      </x:c>
      <x:c r="C8" s="72" t="n">
        <x:f>'Сравнение'!E8</x:f>
        <x:v>-0.5847338670127543</x:v>
      </x:c>
      <x:c r="D8" s="72" t="n">
        <x:f>'Сравнение'!B8</x:f>
        <x:v>3.0098728966154145</x:v>
      </x:c>
      <x:c r="E8" s="72" t="n">
        <x:f>'Сравнение'!G8</x:f>
        <x:v>5.920674355776209</x:v>
      </x:c>
      <x:c r="F8"/>
      <x:c r="G8" s="71" t="str">
        <x:f>'Сравнение'!A8</x:f>
        <x:v>200</x:v>
      </x:c>
      <x:c r="H8" s="72" t="n">
        <x:f>'Сравнение'!D8</x:f>
        <x:v>5.203061320074047</x:v>
      </x:c>
      <x:c r="I8" s="72" t="n">
        <x:f>'Сравнение'!F8</x:f>
        <x:v>3.594606763628169</x:v>
      </x:c>
      <x:c r="J8" s="72" t="n">
        <x:f>0</x:f>
        <x:v>0</x:v>
      </x:c>
      <x:c r="K8" s="72" t="n">
        <x:f>'Сравнение'!H8</x:f>
        <x:v>2.910801459160795</x:v>
      </x:c>
      <x:c r="L8"/>
      <x:c r="M8"/>
      <x:c r="N8"/>
      <x:c r="O8"/>
      <x:c r="P8"/>
      <x:c r="Q8"/>
      <x:c r="R8"/>
      <x:c r="S8"/>
      <x:c r="T8"/>
      <x:c r="U8"/>
      <x:c r="V8"/>
    </x:row>
    <x:row r="9">
      <x:c r="A9" s="71" t="str">
        <x:f>'Сравнение'!A9</x:f>
        <x:v>250</x:v>
      </x:c>
      <x:c r="B9" s="72" t="n">
        <x:f>'Сравнение'!C9</x:f>
        <x:v>-3.456955157257511</x:v>
      </x:c>
      <x:c r="C9" s="72" t="n">
        <x:f>'Сравнение'!E9</x:f>
        <x:v>-4.1393448596021</x:v>
      </x:c>
      <x:c r="D9" s="72" t="n">
        <x:f>'Сравнение'!B9</x:f>
        <x:v>2.1523533541787105</x:v>
      </x:c>
      <x:c r="E9" s="72" t="n">
        <x:f>'Сравнение'!G9</x:f>
        <x:v>2.4158707717652206</x:v>
      </x:c>
      <x:c r="F9"/>
      <x:c r="G9" s="71" t="str">
        <x:f>'Сравнение'!A9</x:f>
        <x:v>250</x:v>
      </x:c>
      <x:c r="H9" s="72" t="n">
        <x:f>'Сравнение'!D9</x:f>
        <x:v>5.609308511436222</x:v>
      </x:c>
      <x:c r="I9" s="72" t="n">
        <x:f>'Сравнение'!F9</x:f>
        <x:v>6.29169821378081</x:v>
      </x:c>
      <x:c r="J9" s="72" t="n">
        <x:f>0</x:f>
        <x:v>0</x:v>
      </x:c>
      <x:c r="K9" s="72" t="n">
        <x:f>'Сравнение'!H9</x:f>
        <x:v>0.26351741758651004</x:v>
      </x:c>
      <x:c r="L9"/>
      <x:c r="M9"/>
      <x:c r="N9"/>
      <x:c r="O9"/>
      <x:c r="P9"/>
      <x:c r="Q9"/>
      <x:c r="R9"/>
      <x:c r="S9"/>
      <x:c r="T9"/>
      <x:c r="U9"/>
      <x:c r="V9"/>
    </x:row>
    <x:row r="10">
      <x:c r="A10" s="71" t="str">
        <x:f>'Сравнение'!A10</x:f>
        <x:v>315</x:v>
      </x:c>
      <x:c r="B10" s="72" t="n">
        <x:f>'Сравнение'!C10</x:f>
        <x:v>-7.335446235751018</x:v>
      </x:c>
      <x:c r="C10" s="72" t="n">
        <x:f>'Сравнение'!E10</x:f>
        <x:v>-4.523256556424354</x:v>
      </x:c>
      <x:c r="D10" s="72" t="n">
        <x:f>'Сравнение'!B10</x:f>
        <x:v>1.3618249367556643</x:v>
      </x:c>
      <x:c r="E10" s="72" t="n">
        <x:f>'Сравнение'!G10</x:f>
        <x:v>1.0941516217350429</x:v>
      </x:c>
      <x:c r="F10"/>
      <x:c r="G10" s="71" t="str">
        <x:f>'Сравнение'!A10</x:f>
        <x:v>315</x:v>
      </x:c>
      <x:c r="H10" s="72" t="n">
        <x:f>'Сравнение'!D10</x:f>
        <x:v>8.697271172506682</x:v>
      </x:c>
      <x:c r="I10" s="72" t="n">
        <x:f>'Сравнение'!F10</x:f>
        <x:v>5.885081493180018</x:v>
      </x:c>
      <x:c r="J10" s="72" t="n">
        <x:f>0</x:f>
        <x:v>0</x:v>
      </x:c>
      <x:c r="K10" s="72" t="n">
        <x:f>'Сравнение'!H10</x:f>
        <x:v>0.2676733150206214</x:v>
      </x:c>
      <x:c r="L10"/>
      <x:c r="M10"/>
      <x:c r="N10"/>
      <x:c r="O10"/>
      <x:c r="P10"/>
      <x:c r="Q10"/>
      <x:c r="R10"/>
      <x:c r="S10"/>
      <x:c r="T10"/>
      <x:c r="U10"/>
      <x:c r="V10"/>
    </x:row>
    <x:row r="11">
      <x:c r="A11" s="71" t="str">
        <x:f>'Сравнение'!A11</x:f>
        <x:v>400</x:v>
      </x:c>
      <x:c r="B11" s="72" t="n">
        <x:f>'Сравнение'!C11</x:f>
        <x:v>-9.22921120174393</x:v>
      </x:c>
      <x:c r="C11" s="72" t="n">
        <x:f>'Сравнение'!E11</x:f>
        <x:v>-9.487741979904678</x:v>
      </x:c>
      <x:c r="D11" s="72" t="n">
        <x:f>'Сравнение'!B11</x:f>
        <x:v>0.843827780209976</x:v>
      </x:c>
      <x:c r="E11" s="72" t="n">
        <x:f>'Сравнение'!G11</x:f>
        <x:v>-5.4288964597053315</x:v>
      </x:c>
      <x:c r="F11"/>
      <x:c r="G11" s="71" t="str">
        <x:f>'Сравнение'!A11</x:f>
        <x:v>400</x:v>
      </x:c>
      <x:c r="H11" s="72" t="n">
        <x:f>'Сравнение'!D11</x:f>
        <x:v>10.073038981953905</x:v>
      </x:c>
      <x:c r="I11" s="72" t="n">
        <x:f>'Сравнение'!F11</x:f>
        <x:v>10.331569760114654</x:v>
      </x:c>
      <x:c r="J11" s="72" t="n">
        <x:f>0</x:f>
        <x:v>0</x:v>
      </x:c>
      <x:c r="K11" s="72" t="n">
        <x:f>'Сравнение'!H11</x:f>
        <x:v>6.272724239915307</x:v>
      </x:c>
      <x:c r="L11"/>
      <x:c r="M11"/>
      <x:c r="N11"/>
      <x:c r="O11"/>
      <x:c r="P11"/>
      <x:c r="Q11"/>
      <x:c r="R11"/>
      <x:c r="S11"/>
      <x:c r="T11"/>
      <x:c r="U11"/>
      <x:c r="V11"/>
    </x:row>
    <x:row r="12">
      <x:c r="A12" s="71" t="str">
        <x:f>'Сравнение'!A12</x:f>
        <x:v>500</x:v>
      </x:c>
      <x:c r="B12" s="72" t="n">
        <x:f>'Сравнение'!C12</x:f>
        <x:v>-6.870591922848227</x:v>
      </x:c>
      <x:c r="C12" s="72" t="n">
        <x:f>'Сравнение'!E12</x:f>
        <x:v>-8.541408541151135</x:v>
      </x:c>
      <x:c r="D12" s="72" t="n">
        <x:f>'Сравнение'!B12</x:f>
        <x:v>0.497447603528511</x:v>
      </x:c>
      <x:c r="E12" s="72" t="n">
        <x:f>'Сравнение'!G12</x:f>
        <x:v>-7.433038179066309</x:v>
      </x:c>
      <x:c r="F12"/>
      <x:c r="G12" s="71" t="str">
        <x:f>'Сравнение'!A12</x:f>
        <x:v>500</x:v>
      </x:c>
      <x:c r="H12" s="72" t="n">
        <x:f>'Сравнение'!D12</x:f>
        <x:v>7.368039526376738</x:v>
      </x:c>
      <x:c r="I12" s="72" t="n">
        <x:f>'Сравнение'!F12</x:f>
        <x:v>9.038856144679647</x:v>
      </x:c>
      <x:c r="J12" s="72" t="n">
        <x:f>0</x:f>
        <x:v>0</x:v>
      </x:c>
      <x:c r="K12" s="72" t="n">
        <x:f>'Сравнение'!H12</x:f>
        <x:v>7.93048578259482</x:v>
      </x:c>
      <x:c r="L12"/>
      <x:c r="M12"/>
      <x:c r="N12"/>
      <x:c r="O12"/>
      <x:c r="P12"/>
      <x:c r="Q12"/>
      <x:c r="R12"/>
      <x:c r="S12"/>
      <x:c r="T12"/>
      <x:c r="U12"/>
      <x:c r="V12"/>
    </x:row>
    <x:row r="13">
      <x:c r="A13" s="71" t="str">
        <x:f>'Сравнение'!A13</x:f>
        <x:v>630</x:v>
      </x:c>
      <x:c r="B13" s="72" t="n">
        <x:f>'Сравнение'!C13</x:f>
        <x:v>-2.610298778744525</x:v>
      </x:c>
      <x:c r="C13" s="72" t="n">
        <x:f>'Сравнение'!E13</x:f>
        <x:v>-14.566206804216856</x:v>
      </x:c>
      <x:c r="D13" s="72" t="n">
        <x:f>'Сравнение'!B13</x:f>
        <x:v>0.30633153528415064</x:v>
      </x:c>
      <x:c r="E13" s="72" t="n">
        <x:f>'Сравнение'!G13</x:f>
        <x:v>-5.418263406894506</x:v>
      </x:c>
      <x:c r="F13"/>
      <x:c r="G13" s="71" t="str">
        <x:f>'Сравнение'!A13</x:f>
        <x:v>630</x:v>
      </x:c>
      <x:c r="H13" s="72" t="n">
        <x:f>'Сравнение'!D13</x:f>
        <x:v>2.9166303140286756</x:v>
      </x:c>
      <x:c r="I13" s="72" t="n">
        <x:f>'Сравнение'!F13</x:f>
        <x:v>14.872538339501007</x:v>
      </x:c>
      <x:c r="J13" s="72" t="n">
        <x:f>0</x:f>
        <x:v>0</x:v>
      </x:c>
      <x:c r="K13" s="72" t="n">
        <x:f>'Сравнение'!H13</x:f>
        <x:v>5.724594942178657</x:v>
      </x:c>
      <x:c r="L13"/>
      <x:c r="M13"/>
      <x:c r="N13"/>
      <x:c r="O13"/>
      <x:c r="P13"/>
      <x:c r="Q13"/>
      <x:c r="R13"/>
      <x:c r="S13"/>
      <x:c r="T13"/>
      <x:c r="U13"/>
      <x:c r="V13"/>
    </x:row>
    <x:row r="14">
      <x:c r="A14" s="71" t="str">
        <x:f>'Сравнение'!A14</x:f>
        <x:v>800</x:v>
      </x:c>
      <x:c r="B14" s="72" t="n">
        <x:f>'Сравнение'!C14</x:f>
        <x:v>1.9233606276420971</x:v>
      </x:c>
      <x:c r="C14" s="72" t="n">
        <x:f>'Сравнение'!E14</x:f>
        <x:v>1.159223065602638</x:v>
      </x:c>
      <x:c r="D14" s="72" t="n">
        <x:f>'Сравнение'!B14</x:f>
        <x:v>0.16939146169255118</x:v>
      </x:c>
      <x:c r="E14" s="72" t="n">
        <x:f>'Сравнение'!G14</x:f>
        <x:v>1.3899400153610155</x:v>
      </x:c>
      <x:c r="F14"/>
      <x:c r="G14" s="71" t="str">
        <x:f>'Сравнение'!A14</x:f>
        <x:v>800</x:v>
      </x:c>
      <x:c r="H14" s="72" t="n">
        <x:f>'Сравнение'!D14</x:f>
        <x:v>1.753969165949546</x:v>
      </x:c>
      <x:c r="I14" s="72" t="n">
        <x:f>'Сравнение'!F14</x:f>
        <x:v>0.989831603910087</x:v>
      </x:c>
      <x:c r="J14" s="72" t="n">
        <x:f>0</x:f>
        <x:v>0</x:v>
      </x:c>
      <x:c r="K14" s="72" t="n">
        <x:f>'Сравнение'!H14</x:f>
        <x:v>1.2205485536684644</x:v>
      </x:c>
      <x:c r="L14"/>
      <x:c r="M14"/>
      <x:c r="N14"/>
      <x:c r="O14"/>
      <x:c r="P14"/>
      <x:c r="Q14"/>
      <x:c r="R14"/>
      <x:c r="S14"/>
      <x:c r="T14"/>
      <x:c r="U14"/>
      <x:c r="V14"/>
    </x:row>
    <x:row r="15">
      <x:c r="A15" s="71" t="str">
        <x:f>'Сравнение'!A15</x:f>
        <x:v>1k</x:v>
      </x:c>
      <x:c r="B15" s="72" t="n">
        <x:f>'Сравнение'!C15</x:f>
        <x:v>0.8182704157120106</x:v>
      </x:c>
      <x:c r="C15" s="72" t="n">
        <x:f>'Сравнение'!E15</x:f>
        <x:v>5.311942655795456</x:v>
      </x:c>
      <x:c r="D15" s="72" t="n">
        <x:f>'Сравнение'!B15</x:f>
        <x:v>0</x:v>
      </x:c>
      <x:c r="E15" s="72" t="n">
        <x:f>'Сравнение'!G15</x:f>
        <x:v>5.056643357664307</x:v>
      </x:c>
      <x:c r="F15"/>
      <x:c r="G15" s="71" t="str">
        <x:f>'Сравнение'!A15</x:f>
        <x:v>1k</x:v>
      </x:c>
      <x:c r="H15" s="72" t="n">
        <x:f>'Сравнение'!D15</x:f>
        <x:v>0.8182704157120106</x:v>
      </x:c>
      <x:c r="I15" s="72" t="n">
        <x:f>'Сравнение'!F15</x:f>
        <x:v>5.311942655795456</x:v>
      </x:c>
      <x:c r="J15" s="72" t="n">
        <x:f>0</x:f>
        <x:v>0</x:v>
      </x:c>
      <x:c r="K15" s="72" t="n">
        <x:f>'Сравнение'!H15</x:f>
        <x:v>5.056643357664307</x:v>
      </x:c>
      <x:c r="L15"/>
      <x:c r="M15"/>
      <x:c r="N15"/>
      <x:c r="O15"/>
      <x:c r="P15"/>
      <x:c r="Q15"/>
      <x:c r="R15"/>
      <x:c r="S15"/>
      <x:c r="T15"/>
      <x:c r="U15"/>
      <x:c r="V15"/>
    </x:row>
    <x:row r="16">
      <x:c r="A16" s="71" t="str">
        <x:f>'Сравнение'!A16</x:f>
        <x:v>1.25k</x:v>
      </x:c>
      <x:c r="B16" s="72" t="n">
        <x:f>'Сравнение'!C16</x:f>
        <x:v>-3.692276936001427</x:v>
      </x:c>
      <x:c r="C16" s="72" t="n">
        <x:f>'Сравнение'!E16</x:f>
        <x:v>1.7937767150417414</x:v>
      </x:c>
      <x:c r="D16" s="72" t="n">
        <x:f>'Сравнение'!B16</x:f>
        <x:v>-0.2542440516263483</x:v>
      </x:c>
      <x:c r="E16" s="72" t="n">
        <x:f>'Сравнение'!G16</x:f>
        <x:v>-1.9854857118700007</x:v>
      </x:c>
      <x:c r="F16"/>
      <x:c r="G16" s="71" t="str">
        <x:f>'Сравнение'!A16</x:f>
        <x:v>1.25k</x:v>
      </x:c>
      <x:c r="H16" s="72" t="n">
        <x:f>'Сравнение'!D16</x:f>
        <x:v>3.4380328843750787</x:v>
      </x:c>
      <x:c r="I16" s="72" t="n">
        <x:f>'Сравнение'!F16</x:f>
        <x:v>2.0480207666680896</x:v>
      </x:c>
      <x:c r="J16" s="72" t="n">
        <x:f>0</x:f>
        <x:v>0</x:v>
      </x:c>
      <x:c r="K16" s="72" t="n">
        <x:f>'Сравнение'!H16</x:f>
        <x:v>1.7312416602436524</x:v>
      </x:c>
      <x:c r="L16"/>
      <x:c r="M16"/>
      <x:c r="N16"/>
      <x:c r="O16"/>
      <x:c r="P16"/>
      <x:c r="Q16"/>
      <x:c r="R16"/>
      <x:c r="S16"/>
      <x:c r="T16"/>
      <x:c r="U16"/>
      <x:c r="V16"/>
    </x:row>
    <x:row r="17">
      <x:c r="A17" s="71" t="str">
        <x:f>'Сравнение'!A17</x:f>
        <x:v>1.6k</x:v>
      </x:c>
      <x:c r="B17" s="72" t="n">
        <x:f>'Сравнение'!C17</x:f>
        <x:v>-0.5920295488963987</x:v>
      </x:c>
      <x:c r="C17" s="72" t="n">
        <x:f>'Сравнение'!E17</x:f>
        <x:v>-0.014406404017481242</x:v>
      </x:c>
      <x:c r="D17" s="72" t="n">
        <x:f>'Сравнение'!B17</x:f>
        <x:v>-0.5920295488963975</x:v>
      </x:c>
      <x:c r="E17" s="72" t="n">
        <x:f>'Сравнение'!G17</x:f>
        <x:v>1.0188046826266195</x:v>
      </x:c>
      <x:c r="F17"/>
      <x:c r="G17" s="71" t="str">
        <x:f>'Сравнение'!A17</x:f>
        <x:v>1.6k</x:v>
      </x:c>
      <x:c r="H17" s="72" t="n">
        <x:f>'Сравнение'!D17</x:f>
        <x:v>1.2212453270876722e-15</x:v>
      </x:c>
      <x:c r="I17" s="72" t="n">
        <x:f>'Сравнение'!F17</x:f>
        <x:v>0.5776231448789162</x:v>
      </x:c>
      <x:c r="J17" s="72" t="n">
        <x:f>0</x:f>
        <x:v>0</x:v>
      </x:c>
      <x:c r="K17" s="72" t="n">
        <x:f>'Сравнение'!H17</x:f>
        <x:v>1.6108342315230169</x:v>
      </x:c>
      <x:c r="L17"/>
      <x:c r="M17"/>
      <x:c r="N17"/>
      <x:c r="O17"/>
      <x:c r="P17"/>
      <x:c r="Q17"/>
      <x:c r="R17"/>
      <x:c r="S17"/>
      <x:c r="T17"/>
      <x:c r="U17"/>
      <x:c r="V17"/>
    </x:row>
    <x:row r="18">
      <x:c r="A18" s="71" t="str">
        <x:f>'Сравнение'!A18</x:f>
        <x:v>2k</x:v>
      </x:c>
      <x:c r="B18" s="72" t="n">
        <x:f>'Сравнение'!C18</x:f>
        <x:v>3.296404616631186</x:v>
      </x:c>
      <x:c r="C18" s="72" t="n">
        <x:f>'Сравнение'!E18</x:f>
        <x:v>-1.3562069490864754</x:v>
      </x:c>
      <x:c r="D18" s="72" t="n">
        <x:f>'Сравнение'!B18</x:f>
        <x:v>-1.055344785492358</x:v>
      </x:c>
      <x:c r="E18" s="72" t="n">
        <x:f>'Сравнение'!G18</x:f>
        <x:v>1.8162992366544148</x:v>
      </x:c>
      <x:c r="F18"/>
      <x:c r="G18" s="71" t="str">
        <x:f>'Сравнение'!A18</x:f>
        <x:v>2k</x:v>
      </x:c>
      <x:c r="H18" s="72" t="n">
        <x:f>'Сравнение'!D18</x:f>
        <x:v>4.351749402123544</x:v>
      </x:c>
      <x:c r="I18" s="72" t="n">
        <x:f>'Сравнение'!F18</x:f>
        <x:v>0.3008621635941173</x:v>
      </x:c>
      <x:c r="J18" s="72" t="n">
        <x:f>0</x:f>
        <x:v>0</x:v>
      </x:c>
      <x:c r="K18" s="72" t="n">
        <x:f>'Сравнение'!H18</x:f>
        <x:v>2.871644022146773</x:v>
      </x:c>
      <x:c r="L18"/>
      <x:c r="M18"/>
      <x:c r="N18"/>
      <x:c r="O18"/>
      <x:c r="P18"/>
      <x:c r="Q18"/>
      <x:c r="R18"/>
      <x:c r="S18"/>
      <x:c r="T18"/>
      <x:c r="U18"/>
      <x:c r="V18"/>
    </x:row>
    <x:row r="19">
      <x:c r="A19" s="71" t="str">
        <x:f>'Сравнение'!A19</x:f>
        <x:v>2.5k</x:v>
      </x:c>
      <x:c r="B19" s="72" t="n">
        <x:f>'Сравнение'!C19</x:f>
        <x:v>3.0000056669868584</x:v>
      </x:c>
      <x:c r="C19" s="72" t="n">
        <x:f>'Сравнение'!E19</x:f>
        <x:v>-3.312785632952835</x:v>
      </x:c>
      <x:c r="D19" s="72" t="n">
        <x:f>'Сравнение'!B19</x:f>
        <x:v>-1.509704222146186</x:v>
      </x:c>
      <x:c r="E19" s="72" t="n">
        <x:f>'Сравнение'!G19</x:f>
        <x:v>-1.5127512336164333</x:v>
      </x:c>
      <x:c r="F19"/>
      <x:c r="G19" s="71" t="str">
        <x:f>'Сравнение'!A19</x:f>
        <x:v>2.5k</x:v>
      </x:c>
      <x:c r="H19" s="72" t="n">
        <x:f>'Сравнение'!D19</x:f>
        <x:v>4.5097098891330445</x:v>
      </x:c>
      <x:c r="I19" s="72" t="n">
        <x:f>'Сравнение'!F19</x:f>
        <x:v>1.8030814108066489</x:v>
      </x:c>
      <x:c r="J19" s="72" t="n">
        <x:f>0</x:f>
        <x:v>0</x:v>
      </x:c>
      <x:c r="K19" s="72" t="n">
        <x:f>'Сравнение'!H19</x:f>
        <x:v>0.0030470114702472184</x:v>
      </x:c>
      <x:c r="L19"/>
      <x:c r="M19"/>
      <x:c r="N19"/>
      <x:c r="O19"/>
      <x:c r="P19"/>
      <x:c r="Q19"/>
      <x:c r="R19"/>
      <x:c r="S19"/>
      <x:c r="T19"/>
      <x:c r="U19"/>
      <x:c r="V19"/>
    </x:row>
    <x:row r="20">
      <x:c r="A20" s="71" t="str">
        <x:f>'Сравнение'!A20</x:f>
        <x:v>3.15k</x:v>
      </x:c>
      <x:c r="B20" s="72" t="n">
        <x:f>'Сравнение'!C20</x:f>
        <x:v>7.0232825310461635</x:v>
      </x:c>
      <x:c r="C20" s="72" t="n">
        <x:f>'Сравнение'!E20</x:f>
        <x:v>-0.15073610700364112</x:v>
      </x:c>
      <x:c r="D20" s="72" t="n">
        <x:f>'Сравнение'!B20</x:f>
        <x:v>-1.9982899107710275</x:v>
      </x:c>
      <x:c r="E20" s="72" t="n">
        <x:f>'Сравнение'!G20</x:f>
        <x:v>0.0836750333407797</x:v>
      </x:c>
      <x:c r="F20"/>
      <x:c r="G20" s="71" t="str">
        <x:f>'Сравнение'!A20</x:f>
        <x:v>3.15k</x:v>
      </x:c>
      <x:c r="H20" s="72" t="n">
        <x:f>'Сравнение'!D20</x:f>
        <x:v>9.021572441817192</x:v>
      </x:c>
      <x:c r="I20" s="72" t="n">
        <x:f>'Сравнение'!F20</x:f>
        <x:v>1.8475538037673864</x:v>
      </x:c>
      <x:c r="J20" s="72" t="n">
        <x:f>0</x:f>
        <x:v>0</x:v>
      </x:c>
      <x:c r="K20" s="72" t="n">
        <x:f>'Сравнение'!H20</x:f>
        <x:v>2.081964944111807</x:v>
      </x:c>
      <x:c r="L20"/>
      <x:c r="M20"/>
      <x:c r="N20"/>
      <x:c r="O20"/>
      <x:c r="P20"/>
      <x:c r="Q20"/>
      <x:c r="R20"/>
      <x:c r="S20"/>
      <x:c r="T20"/>
      <x:c r="U20"/>
      <x:c r="V20"/>
    </x:row>
    <x:row r="21">
      <x:c r="A21" s="71" t="str">
        <x:f>'Сравнение'!A21</x:f>
        <x:v>4k</x:v>
      </x:c>
      <x:c r="B21" s="72" t="n">
        <x:f>'Сравнение'!C21</x:f>
        <x:v>10.670316392110578</x:v>
      </x:c>
      <x:c r="C21" s="72" t="n">
        <x:f>'Сравнение'!E21</x:f>
        <x:v>-1.2528362629448981</x:v>
      </x:c>
      <x:c r="D21" s="72" t="n">
        <x:f>'Сравнение'!B21</x:f>
        <x:v>-2.4908220585554752</x:v>
      </x:c>
      <x:c r="E21" s="72" t="n">
        <x:f>'Сравнение'!G21</x:f>
        <x:v>3.2641137218012823</x:v>
      </x:c>
      <x:c r="F21"/>
      <x:c r="G21" s="71" t="str">
        <x:f>'Сравнение'!A21</x:f>
        <x:v>4k</x:v>
      </x:c>
      <x:c r="H21" s="72" t="n">
        <x:f>'Сравнение'!D21</x:f>
        <x:v>13.161138450666053</x:v>
      </x:c>
      <x:c r="I21" s="72" t="n">
        <x:f>'Сравнение'!F21</x:f>
        <x:v>1.237985795610577</x:v>
      </x:c>
      <x:c r="J21" s="72" t="n">
        <x:f>0</x:f>
        <x:v>0</x:v>
      </x:c>
      <x:c r="K21" s="72" t="n">
        <x:f>'Сравнение'!H21</x:f>
        <x:v>5.754935780356758</x:v>
      </x:c>
      <x:c r="L21"/>
      <x:c r="M21"/>
      <x:c r="N21"/>
      <x:c r="O21"/>
      <x:c r="P21"/>
      <x:c r="Q21"/>
      <x:c r="R21"/>
      <x:c r="S21"/>
      <x:c r="T21"/>
      <x:c r="U21"/>
      <x:c r="V21"/>
    </x:row>
    <x:row r="22">
      <x:c r="A22" s="71" t="str">
        <x:f>'Сравнение'!A22</x:f>
        <x:v>5k</x:v>
      </x:c>
      <x:c r="B22" s="72" t="n">
        <x:f>'Сравнение'!C22</x:f>
        <x:v>7.523100417101993</x:v>
      </x:c>
      <x:c r="C22" s="72" t="n">
        <x:f>'Сравнение'!E22</x:f>
        <x:v>-0.2771111940765258</x:v>
      </x:c>
      <x:c r="D22" s="72" t="n">
        <x:f>'Сравнение'!B22</x:f>
        <x:v>-2.874148985429187</x:v>
      </x:c>
      <x:c r="E22" s="72" t="n">
        <x:f>'Сравнение'!G22</x:f>
        <x:v>0.6141790499022264</x:v>
      </x:c>
      <x:c r="F22"/>
      <x:c r="G22" s="71" t="str">
        <x:f>'Сравнение'!A22</x:f>
        <x:v>5k</x:v>
      </x:c>
      <x:c r="H22" s="72" t="n">
        <x:f>'Сравнение'!D22</x:f>
        <x:v>10.39724940253118</x:v>
      </x:c>
      <x:c r="I22" s="72" t="n">
        <x:f>'Сравнение'!F22</x:f>
        <x:v>2.5970377913526614</x:v>
      </x:c>
      <x:c r="J22" s="72" t="n">
        <x:f>0</x:f>
        <x:v>0</x:v>
      </x:c>
      <x:c r="K22" s="72" t="n">
        <x:f>'Сравнение'!H22</x:f>
        <x:v>3.4883280353314134</x:v>
      </x:c>
      <x:c r="L22"/>
      <x:c r="M22"/>
      <x:c r="N22"/>
      <x:c r="O22"/>
      <x:c r="P22"/>
      <x:c r="Q22"/>
      <x:c r="R22"/>
      <x:c r="S22"/>
      <x:c r="T22"/>
      <x:c r="U22"/>
      <x:c r="V22"/>
    </x:row>
    <x:row r="23">
      <x:c r="A23" s="71" t="str">
        <x:f>'Сравнение'!A23</x:f>
        <x:v>6.3k</x:v>
      </x:c>
      <x:c r="B23" s="72" t="n">
        <x:f>'Сравнение'!C23</x:f>
        <x:v>0.8281610825376404</x:v>
      </x:c>
      <x:c r="C23" s="72" t="n">
        <x:f>'Сравнение'!E23</x:f>
        <x:v>-2.3799230164920586</x:v>
      </x:c>
      <x:c r="D23" s="72" t="n">
        <x:f>'Сравнение'!B23</x:f>
        <x:v>-3.315925763225187</x:v>
      </x:c>
      <x:c r="E23" s="72" t="n">
        <x:f>'Сравнение'!G23</x:f>
        <x:v>0.1762431527038295</x:v>
      </x:c>
      <x:c r="F23"/>
      <x:c r="G23" s="71" t="str">
        <x:f>'Сравнение'!A23</x:f>
        <x:v>6.3k</x:v>
      </x:c>
      <x:c r="H23" s="72" t="n">
        <x:f>'Сравнение'!D23</x:f>
        <x:v>4.1440868457628275</x:v>
      </x:c>
      <x:c r="I23" s="72" t="n">
        <x:f>'Сравнение'!F23</x:f>
        <x:v>0.9360027467331284</x:v>
      </x:c>
      <x:c r="J23" s="72" t="n">
        <x:f>0</x:f>
        <x:v>0</x:v>
      </x:c>
      <x:c r="K23" s="72" t="n">
        <x:f>'Сравнение'!H23</x:f>
        <x:v>3.4921689159290166</x:v>
      </x:c>
      <x:c r="L23"/>
      <x:c r="M23"/>
      <x:c r="N23"/>
      <x:c r="O23"/>
      <x:c r="P23"/>
      <x:c r="Q23"/>
      <x:c r="R23"/>
      <x:c r="S23"/>
      <x:c r="T23"/>
      <x:c r="U23"/>
      <x:c r="V23"/>
    </x:row>
    <x:row r="24">
      <x:c r="A24" s="71" t="str">
        <x:f>'Сравнение'!A24</x:f>
        <x:v>8k</x:v>
      </x:c>
      <x:c r="B24" s="72" t="n">
        <x:f>'Сравнение'!C24</x:f>
        <x:v>2.8986890657567095</x:v>
      </x:c>
      <x:c r="C24" s="72" t="n">
        <x:f>'Сравнение'!E24</x:f>
        <x:v>-1.4647528213857484</x:v>
      </x:c>
      <x:c r="D24" s="72" t="n">
        <x:f>'Сравнение'!B24</x:f>
        <x:v>-3.9776166378622455</x:v>
      </x:c>
      <x:c r="E24" s="72" t="n">
        <x:f>'Сравнение'!G24</x:f>
        <x:v>1.148870473372913</x:v>
      </x:c>
      <x:c r="F24"/>
      <x:c r="G24" s="71" t="str">
        <x:f>'Сравнение'!A24</x:f>
        <x:v>8k</x:v>
      </x:c>
      <x:c r="H24" s="72" t="n">
        <x:f>'Сравнение'!D24</x:f>
        <x:v>6.876305703618955</x:v>
      </x:c>
      <x:c r="I24" s="72" t="n">
        <x:f>'Сравнение'!F24</x:f>
        <x:v>2.5128638164764974</x:v>
      </x:c>
      <x:c r="J24" s="72" t="n">
        <x:f>0</x:f>
        <x:v>0</x:v>
      </x:c>
      <x:c r="K24" s="72" t="n">
        <x:f>'Сравнение'!H24</x:f>
        <x:v>5.126487111235159</x:v>
      </x:c>
      <x:c r="L24"/>
      <x:c r="M24"/>
      <x:c r="N24"/>
      <x:c r="O24"/>
      <x:c r="P24"/>
      <x:c r="Q24"/>
      <x:c r="R24"/>
      <x:c r="S24"/>
      <x:c r="T24"/>
      <x:c r="U24"/>
      <x:c r="V24"/>
    </x:row>
    <x:row r="25">
      <x:c r="A25" s="71" t="str">
        <x:f>'Сравнение'!A25</x:f>
        <x:v>10k</x:v>
      </x:c>
      <x:c r="B25" s="72" t="n">
        <x:f>'Сравнение'!C25</x:f>
        <x:v>-2.400007572428809</x:v>
      </x:c>
      <x:c r="C25" s="72" t="n">
        <x:f>'Сравнение'!E25</x:f>
        <x:v>-4.480933311007497</x:v>
      </x:c>
      <x:c r="D25" s="72" t="n">
        <x:f>'Сравнение'!B25</x:f>
        <x:v>-4.8</x:v>
      </x:c>
      <x:c r="E25" s="72" t="n">
        <x:f>'Сравнение'!G25</x:f>
        <x:v>0.5669528712614303</x:v>
      </x:c>
      <x:c r="F25"/>
      <x:c r="G25" s="71" t="str">
        <x:f>'Сравнение'!A25</x:f>
        <x:v>10k</x:v>
      </x:c>
      <x:c r="H25" s="72" t="n">
        <x:f>'Сравнение'!D25</x:f>
        <x:v>2.399992427571191</x:v>
      </x:c>
      <x:c r="I25" s="72" t="n">
        <x:f>'Сравнение'!F25</x:f>
        <x:v>0.31906668899250246</x:v>
      </x:c>
      <x:c r="J25" s="72" t="n">
        <x:f>0</x:f>
        <x:v>0</x:v>
      </x:c>
      <x:c r="K25" s="72" t="n">
        <x:f>'Сравнение'!H25</x:f>
        <x:v>5.3669528712614305</x:v>
      </x:c>
      <x:c r="L25"/>
      <x:c r="M25"/>
      <x:c r="N25"/>
      <x:c r="O25"/>
      <x:c r="P25"/>
      <x:c r="Q25"/>
      <x:c r="R25"/>
      <x:c r="S25"/>
      <x:c r="T25"/>
      <x:c r="U25"/>
      <x:c r="V25"/>
    </x:row>
    <x:row r="26">
      <x:c r="A26" s="71" t="str">
        <x:f>'Сравнение'!A26</x:f>
        <x:v>12.5k</x:v>
      </x:c>
      <x:c r="B26" s="72" t="n">
        <x:f>'Сравнение'!C26</x:f>
        <x:v>1.4821774472996907</x:v>
      </x:c>
      <x:c r="C26" s="72" t="n">
        <x:f>'Сравнение'!E26</x:f>
        <x:v>0.9492793964025074</x:v>
      </x:c>
      <x:c r="D26" s="72" t="n">
        <x:f>'Сравнение'!B26</x:f>
        <x:v>-5.52511064388149</x:v>
      </x:c>
      <x:c r="E26" s="72" t="n">
        <x:f>'Сравнение'!G26</x:f>
        <x:v>5.343988283052532</x:v>
      </x:c>
      <x:c r="F26"/>
      <x:c r="G26" s="71" t="str">
        <x:f>'Сравнение'!A26</x:f>
        <x:v>12.5k</x:v>
      </x:c>
      <x:c r="H26" s="72" t="n">
        <x:f>'Сравнение'!D26</x:f>
        <x:v>7.007288091181181</x:v>
      </x:c>
      <x:c r="I26" s="72" t="n">
        <x:f>'Сравнение'!F26</x:f>
        <x:v>6.474390040283997</x:v>
      </x:c>
      <x:c r="J26" s="72" t="n">
        <x:f>0</x:f>
        <x:v>0</x:v>
      </x:c>
      <x:c r="K26" s="72" t="n">
        <x:f>'Сравнение'!H26</x:f>
        <x:v>10.869098926934022</x:v>
      </x:c>
      <x:c r="L26"/>
      <x:c r="M26"/>
      <x:c r="N26"/>
      <x:c r="O26"/>
      <x:c r="P26"/>
      <x:c r="Q26"/>
      <x:c r="R26"/>
      <x:c r="S26"/>
      <x:c r="T26"/>
      <x:c r="U26"/>
      <x:c r="V26"/>
    </x:row>
    <x:row r="27">
      <x:c r="A27" s="71" t="str">
        <x:f>'Сравнение'!A27</x:f>
        <x:v>16k</x:v>
      </x:c>
      <x:c r="B27" s="72" t="n">
        <x:f>'Сравнение'!C27</x:f>
        <x:v>-6.467930547363455</x:v>
      </x:c>
      <x:c r="C27" s="72" t="n">
        <x:f>'Сравнение'!E27</x:f>
        <x:v>-3.6039990383349347</x:v>
      </x:c>
      <x:c r="D27" s="72" t="n">
        <x:f>'Сравнение'!B27</x:f>
        <x:v>-6.452391488385241</x:v>
      </x:c>
      <x:c r="E27" s="72" t="n">
        <x:f>'Сравнение'!G27</x:f>
        <x:v>-2.2201232708217895</x:v>
      </x:c>
      <x:c r="F27"/>
      <x:c r="G27" s="71" t="str">
        <x:f>'Сравнение'!A27</x:f>
        <x:v>16k</x:v>
      </x:c>
      <x:c r="H27" s="72" t="n">
        <x:f>'Сравнение'!D27</x:f>
        <x:v>0.015539058978213838</x:v>
      </x:c>
      <x:c r="I27" s="72" t="n">
        <x:f>'Сравнение'!F27</x:f>
        <x:v>2.8483924500503064</x:v>
      </x:c>
      <x:c r="J27" s="72" t="n">
        <x:f>0</x:f>
        <x:v>0</x:v>
      </x:c>
      <x:c r="K27" s="72" t="n">
        <x:f>'Сравнение'!H27</x:f>
        <x:v>4.232268217563451</x:v>
      </x:c>
      <x:c r="L27"/>
      <x:c r="M27"/>
      <x:c r="N27"/>
      <x:c r="O27"/>
      <x:c r="P27"/>
      <x:c r="Q27"/>
      <x:c r="R27"/>
      <x:c r="S27"/>
      <x:c r="T27"/>
      <x:c r="U27"/>
      <x:c r="V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</x:row>
  </x:sheetData>
  <x:mergeCells>
    <x:mergeCell ref="A1:T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" hidden="0" customWidth="1"/>
    <x:col min="9" max="9" width="23" hidden="0" customWidth="1"/>
    <x:col min="10" max="10" width="20" hidden="0" customWidth="1"/>
  </x:cols>
  <x:sheetData>
    <x:row r="1">
      <x:c r="A1" s="62" t="str">
        <x:v>Профили EQ и Time Alignment, каналы 1–2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</x:row>
    <x:row r="4">
      <x:c r="A4" s="68" t="str">
        <x:v>Полоса, Гц</x:v>
      </x:c>
      <x:c r="B4" s="68" t="str">
        <x:v>Кандидат 1 Gain</x:v>
      </x:c>
      <x:c r="C4" s="68" t="str">
        <x:v>Q кандидата</x:v>
      </x:c>
      <x:c r="D4" s="68" t="str">
        <x:v>Предыдущий Gain</x:v>
      </x:c>
      <x:c r="E4" s="68" t="str">
        <x:v>Q предыдущего</x:v>
      </x:c>
      <x:c r="F4" s="68" t="str">
        <x:v>Текущий Gain</x:v>
      </x:c>
      <x:c r="G4" s="68" t="str">
        <x:v>Q текущего</x:v>
      </x:c>
      <x:c r="I4" s="68" t="str">
        <x:v>Параметр TA</x:v>
      </x:c>
      <x:c r="J4" s="68" t="str">
        <x:v>Значение</x:v>
      </x:c>
    </x:row>
    <x:row r="5">
      <x:c r="A5" s="87" t="n">
        <x:v>135</x:v>
      </x:c>
      <x:c r="B5" s="87" t="n">
        <x:v>0</x:v>
      </x:c>
      <x:c r="C5" s="87"/>
      <x:c r="D5" s="87" t="n">
        <x:v>0</x:v>
      </x:c>
      <x:c r="E5" s="87"/>
      <x:c r="F5" s="87" t="n">
        <x:v>1</x:v>
      </x:c>
      <x:c r="G5" s="87" t="n">
        <x:v>2.5</x:v>
      </x:c>
      <x:c r="I5" s="71" t="str">
        <x:v>CH1</x:v>
      </x:c>
      <x:c r="J5" s="71" t="str">
        <x:v>Левый</x:v>
      </x:c>
    </x:row>
    <x:row r="6">
      <x:c r="A6" s="87" t="n">
        <x:v>600</x:v>
      </x:c>
      <x:c r="B6" s="87" t="n">
        <x:v>0</x:v>
      </x:c>
      <x:c r="C6" s="87"/>
      <x:c r="D6" s="87" t="n">
        <x:v>1</x:v>
      </x:c>
      <x:c r="E6" s="87" t="n">
        <x:v>6</x:v>
      </x:c>
      <x:c r="F6" s="87" t="n">
        <x:v>1</x:v>
      </x:c>
      <x:c r="G6" s="87" t="n">
        <x:v>6</x:v>
      </x:c>
      <x:c r="I6" s="71" t="str">
        <x:v>CH1 задержка</x:v>
      </x:c>
      <x:c r="J6" s="71" t="str">
        <x:v>51 см</x:v>
      </x:c>
    </x:row>
    <x:row r="7">
      <x:c r="A7" s="87" t="n">
        <x:v>800</x:v>
      </x:c>
      <x:c r="B7" s="87" t="n">
        <x:v>-1</x:v>
      </x:c>
      <x:c r="C7" s="87" t="n">
        <x:v>6</x:v>
      </x:c>
      <x:c r="D7" s="87" t="n">
        <x:v>-1</x:v>
      </x:c>
      <x:c r="E7" s="87" t="n">
        <x:v>6</x:v>
      </x:c>
      <x:c r="F7" s="87" t="n">
        <x:v>-1</x:v>
      </x:c>
      <x:c r="G7" s="87" t="n">
        <x:v>6</x:v>
      </x:c>
      <x:c r="I7" s="71" t="str">
        <x:v>CH2</x:v>
      </x:c>
      <x:c r="J7" s="71" t="str">
        <x:v>Правый</x:v>
      </x:c>
    </x:row>
    <x:row r="8">
      <x:c r="A8" s="87" t="n">
        <x:v>1000</x:v>
      </x:c>
      <x:c r="B8" s="87" t="n">
        <x:v>-1</x:v>
      </x:c>
      <x:c r="C8" s="87" t="n">
        <x:v>6</x:v>
      </x:c>
      <x:c r="D8" s="87" t="n">
        <x:v>-1</x:v>
      </x:c>
      <x:c r="E8" s="87" t="n">
        <x:v>6</x:v>
      </x:c>
      <x:c r="F8" s="87" t="n">
        <x:v>-3</x:v>
      </x:c>
      <x:c r="G8" s="87" t="n">
        <x:v>6</x:v>
      </x:c>
      <x:c r="I8" s="71" t="str">
        <x:v>CH2 задержка</x:v>
      </x:c>
      <x:c r="J8" s="71" t="str">
        <x:v>0 см</x:v>
      </x:c>
    </x:row>
    <x:row r="9">
      <x:c r="A9" s="87" t="n">
        <x:v>1500</x:v>
      </x:c>
      <x:c r="B9" s="87" t="n">
        <x:v>0</x:v>
      </x:c>
      <x:c r="C9" s="87"/>
      <x:c r="D9" s="87" t="n">
        <x:v>0</x:v>
      </x:c>
      <x:c r="E9" s="87"/>
      <x:c r="F9" s="87" t="n">
        <x:v>-3</x:v>
      </x:c>
      <x:c r="G9" s="87" t="n">
        <x:v>6</x:v>
      </x:c>
      <x:c r="I9" s="71" t="str">
        <x:v>Gain CH1/CH2</x:v>
      </x:c>
      <x:c r="J9" s="71" t="str">
        <x:v>0 дБ / 0 дБ</x:v>
      </x:c>
    </x:row>
    <x:row r="10">
      <x:c r="A10" s="87" t="n">
        <x:v>2500</x:v>
      </x:c>
      <x:c r="B10" s="87" t="n">
        <x:v>-1</x:v>
      </x:c>
      <x:c r="C10" s="87" t="n">
        <x:v>6</x:v>
      </x:c>
      <x:c r="D10" s="87" t="n">
        <x:v>-2</x:v>
      </x:c>
      <x:c r="E10" s="87" t="n">
        <x:v>6</x:v>
      </x:c>
      <x:c r="F10" s="87" t="n">
        <x:v>-4</x:v>
      </x:c>
      <x:c r="G10" s="87" t="n">
        <x:v>6</x:v>
      </x:c>
      <x:c r="I10" s="71" t="str">
        <x:v>Balance / Fader</x:v>
      </x:c>
      <x:c r="J10" s="71" t="str">
        <x:v>Центр / центр</x:v>
      </x:c>
    </x:row>
    <x:row r="11">
      <x:c r="A11" s="87" t="n">
        <x:v>3000</x:v>
      </x:c>
      <x:c r="B11" s="87" t="n">
        <x:v>-1</x:v>
      </x:c>
      <x:c r="C11" s="87" t="n">
        <x:v>6</x:v>
      </x:c>
      <x:c r="D11" s="87" t="n">
        <x:v>-3</x:v>
      </x:c>
      <x:c r="E11" s="87" t="n">
        <x:v>6</x:v>
      </x:c>
      <x:c r="F11" s="87" t="n">
        <x:v>-3</x:v>
      </x:c>
      <x:c r="G11" s="87" t="n">
        <x:v>6</x:v>
      </x:c>
      <x:c r="I11"/>
      <x:c r="J11"/>
    </x:row>
    <x:row r="12">
      <x:c r="A12" s="87" t="n">
        <x:v>3500</x:v>
      </x:c>
      <x:c r="B12" s="87" t="n">
        <x:v>-1</x:v>
      </x:c>
      <x:c r="C12" s="87" t="n">
        <x:v>6</x:v>
      </x:c>
      <x:c r="D12" s="87" t="n">
        <x:v>-4</x:v>
      </x:c>
      <x:c r="E12" s="87" t="n">
        <x:v>6</x:v>
      </x:c>
      <x:c r="F12" s="87" t="n">
        <x:v>-4</x:v>
      </x:c>
      <x:c r="G12" s="87" t="n">
        <x:v>6</x:v>
      </x:c>
    </x:row>
    <x:row r="13">
      <x:c r="A13" s="87" t="n">
        <x:v>4000</x:v>
      </x:c>
      <x:c r="B13" s="87" t="n">
        <x:v>-1</x:v>
      </x:c>
      <x:c r="C13" s="87" t="n">
        <x:v>6</x:v>
      </x:c>
      <x:c r="D13" s="87" t="n">
        <x:v>-6</x:v>
      </x:c>
      <x:c r="E13" s="87" t="n">
        <x:v>6</x:v>
      </x:c>
      <x:c r="F13" s="87" t="n">
        <x:v>-9</x:v>
      </x:c>
      <x:c r="G13" s="87" t="n">
        <x:v>6</x:v>
      </x:c>
    </x:row>
    <x:row r="14">
      <x:c r="A14" s="87" t="n">
        <x:v>5000</x:v>
      </x:c>
      <x:c r="B14" s="87" t="n">
        <x:v>0</x:v>
      </x:c>
      <x:c r="C14" s="87"/>
      <x:c r="D14" s="87" t="n">
        <x:v>-3</x:v>
      </x:c>
      <x:c r="E14" s="87" t="n">
        <x:v>6</x:v>
      </x:c>
      <x:c r="F14" s="87" t="n">
        <x:v>-3</x:v>
      </x:c>
      <x:c r="G14" s="87" t="n">
        <x:v>6</x:v>
      </x:c>
    </x:row>
    <x:row r="15">
      <x:c r="A15" s="87" t="n">
        <x:v>6500</x:v>
      </x:c>
      <x:c r="B15" s="87" t="n">
        <x:v>0</x:v>
      </x:c>
      <x:c r="C15" s="87"/>
      <x:c r="D15" s="87" t="n">
        <x:v>-3</x:v>
      </x:c>
      <x:c r="E15" s="87" t="n">
        <x:v>6</x:v>
      </x:c>
      <x:c r="F15" s="87" t="n">
        <x:v>-3</x:v>
      </x:c>
      <x:c r="G15" s="87" t="n">
        <x:v>6</x:v>
      </x:c>
    </x:row>
    <x:row r="16">
      <x:c r="A16" s="87" t="n">
        <x:v>8000</x:v>
      </x:c>
      <x:c r="B16" s="87" t="n">
        <x:v>0</x:v>
      </x:c>
      <x:c r="C16" s="87"/>
      <x:c r="D16" s="87" t="n">
        <x:v>-5</x:v>
      </x:c>
      <x:c r="E16" s="87" t="n">
        <x:v>6</x:v>
      </x:c>
      <x:c r="F16" s="87" t="n">
        <x:v>-8</x:v>
      </x:c>
      <x:c r="G16" s="87" t="n">
        <x:v>6</x:v>
      </x:c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 ht="27" customHeight="1">
      <x:c r="A19" s="86" t="str">
        <x:v>Все неуказанные полосы имеют Gain 0 дБ. Q текущей полосы 135 Гц — 2,5; Q остальных изменённых полос — 6. HPF и LPF не менялись. Текущий профиль подтверждён измерениями и прослушиванием.</x:v>
      </x:c>
      <x:c r="B19" s="86"/>
      <x:c r="C19" s="86"/>
      <x:c r="D19" s="86"/>
      <x:c r="E19" s="86"/>
      <x:c r="F19" s="86"/>
      <x:c r="G19" s="86"/>
      <x:c r="H19" s="86"/>
      <x:c r="I19" s="86"/>
      <x:c r="J19" s="86"/>
    </x:row>
    <x:row r="20" ht="27" customHeight="1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</x:sheetData>
  <x:mergeCells>
    <x:mergeCell ref="A1:J2"/>
    <x:mergeCell ref="A17:J19"/>
    <x:mergeCell ref="A19:J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62" t="str">
        <x:v>Исходные измерения и средние значения профилей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/>
      <x:c r="N1"/>
      <x:c r="O1"/>
      <x:c r="P1"/>
      <x:c r="Q1"/>
      <x:c r="R1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/>
      <x:c r="N2"/>
      <x:c r="O2"/>
      <x:c r="P2"/>
      <x:c r="Q2"/>
      <x:c r="R2"/>
    </x:row>
    <x:row r="4">
      <x:c r="A4" s="68" t="str">
        <x:v>Частота, Гц</x:v>
      </x:c>
      <x:c r="B4" s="68" t="str">
        <x:v>Точный центр, Гц</x:v>
      </x:c>
      <x:c r="C4" s="68" t="str">
        <x:v>Идеал, дБ</x:v>
      </x:c>
      <x:c r="D4" s="68" t="str">
        <x:v>Кандидат 1, дБ</x:v>
      </x:c>
      <x:c r="E4" s="68" t="str">
        <x:v>Предыдущий 40/0 — 1</x:v>
      </x:c>
      <x:c r="F4" s="68" t="str">
        <x:v>Предыдущий 40/0 — 2</x:v>
      </x:c>
      <x:c r="G4" s="68" t="str">
        <x:v>Предыдущий 40/0 — 3</x:v>
      </x:c>
      <x:c r="H4" s="68" t="str">
        <x:v>Среднее предыдущего</x:v>
      </x:c>
      <x:c r="I4" s="68" t="str">
        <x:v>Текущий Q2,5 — 1</x:v>
      </x:c>
      <x:c r="J4" s="68" t="str">
        <x:v>Текущий Q2,5 — 2</x:v>
      </x:c>
      <x:c r="K4" s="68" t="str">
        <x:v>Текущий Q2,5 — 3</x:v>
      </x:c>
      <x:c r="L4" s="68" t="str">
        <x:v>Среднее текущего</x:v>
      </x:c>
    </x:row>
    <x:row r="5">
      <x:c r="A5" s="71" t="n">
        <x:v>20</x:v>
      </x:c>
      <x:c r="B5" s="72" t="n">
        <x:v>19.952623149688797</x:v>
      </x:c>
      <x:c r="C5" s="72" t="n">
        <x:v>4.986917249525752</x:v>
      </x:c>
      <x:c r="D5" s="72" t="n">
        <x:v>-44.51492034059446</x:v>
      </x:c>
      <x:c r="E5" s="72" t="n">
        <x:v>-51.53893645123331</x:v>
      </x:c>
      <x:c r="F5" s="72" t="n">
        <x:v>-53.3124728728467</x:v>
      </x:c>
      <x:c r="G5" s="72" t="n">
        <x:v>-49.94088591937103</x:v>
      </x:c>
      <x:c r="H5" s="72" t="n">
        <x:f>AVERAGE(E5:G5)</x:f>
        <x:v>-51.59743174781701</x:v>
      </x:c>
      <x:c r="I5" s="72" t="n">
        <x:v>-39.431527917901505</x:v>
      </x:c>
      <x:c r="J5" s="72" t="n">
        <x:v>-39.4770573435311</x:v>
      </x:c>
      <x:c r="K5" s="72" t="n">
        <x:v>-37.95350006946853</x:v>
      </x:c>
      <x:c r="L5" s="72" t="n">
        <x:f>AVERAGE(I5:K5)</x:f>
        <x:v>-38.95402844363371</x:v>
      </x:c>
      <x:c r="M5"/>
      <x:c r="N5"/>
      <x:c r="O5"/>
      <x:c r="P5"/>
      <x:c r="Q5"/>
      <x:c r="R5"/>
    </x:row>
    <x:row r="6">
      <x:c r="A6" s="71" t="n">
        <x:v>25</x:v>
      </x:c>
      <x:c r="B6" s="72" t="n">
        <x:v>25.118864315095795</x:v>
      </x:c>
      <x:c r="C6" s="72" t="n">
        <x:v>6.151483303770569</x:v>
      </x:c>
      <x:c r="D6" s="72" t="n">
        <x:v>-45.4471192449178</x:v>
      </x:c>
      <x:c r="E6" s="72" t="n">
        <x:v>-49.714259656719044</x:v>
      </x:c>
      <x:c r="F6" s="72" t="n">
        <x:v>-50.3072387792314</x:v>
      </x:c>
      <x:c r="G6" s="72" t="n">
        <x:v>-47.585891675454555</x:v>
      </x:c>
      <x:c r="H6" s="72" t="n">
        <x:f>AVERAGE(E6:G6)</x:f>
        <x:v>-49.20246337046833</x:v>
      </x:c>
      <x:c r="I6" s="72" t="n">
        <x:v>-39.28925598898283</x:v>
      </x:c>
      <x:c r="J6" s="72" t="n">
        <x:v>-39.3946322480475</x:v>
      </x:c>
      <x:c r="K6" s="72" t="n">
        <x:v>-37.36488456849213</x:v>
      </x:c>
      <x:c r="L6" s="72" t="n">
        <x:f>AVERAGE(I6:K6)</x:f>
        <x:v>-38.682924268507485</x:v>
      </x:c>
      <x:c r="M6"/>
      <x:c r="N6"/>
      <x:c r="O6"/>
      <x:c r="P6"/>
      <x:c r="Q6"/>
      <x:c r="R6"/>
    </x:row>
    <x:row r="7">
      <x:c r="A7" s="71" t="n">
        <x:v>31.5</x:v>
      </x:c>
      <x:c r="B7" s="72" t="n">
        <x:v>31.622776601683793</x:v>
      </x:c>
      <x:c r="C7" s="72" t="n">
        <x:v>7.011322214401831</x:v>
      </x:c>
      <x:c r="D7" s="72" t="n">
        <x:v>-46.11106697775885</x:v>
      </x:c>
      <x:c r="E7" s="72" t="n">
        <x:v>-45.52093433469847</x:v>
      </x:c>
      <x:c r="F7" s="72" t="n">
        <x:v>-47.59693411216756</x:v>
      </x:c>
      <x:c r="G7" s="72" t="n">
        <x:v>-44.496751333010856</x:v>
      </x:c>
      <x:c r="H7" s="72" t="n">
        <x:f>AVERAGE(E7:G7)</x:f>
        <x:v>-45.87153992662562</x:v>
      </x:c>
      <x:c r="I7" s="72" t="n">
        <x:v>-39.939973199210684</x:v>
      </x:c>
      <x:c r="J7" s="72" t="n">
        <x:v>-40.06482004904056</x:v>
      </x:c>
      <x:c r="K7" s="72" t="n">
        <x:v>-37.07667154457759</x:v>
      </x:c>
      <x:c r="L7" s="72" t="n">
        <x:f>AVERAGE(I7:K7)</x:f>
        <x:v>-39.02715493094295</x:v>
      </x:c>
      <x:c r="M7"/>
      <x:c r="N7"/>
      <x:c r="O7"/>
      <x:c r="P7"/>
      <x:c r="Q7"/>
      <x:c r="R7"/>
    </x:row>
    <x:row r="8">
      <x:c r="A8" s="71" t="n">
        <x:v>40</x:v>
      </x:c>
      <x:c r="B8" s="72" t="n">
        <x:v>39.810717055349734</x:v>
      </x:c>
      <x:c r="C8" s="72" t="n">
        <x:v>7.675628974016272</x:v>
      </x:c>
      <x:c r="D8" s="72" t="n">
        <x:v>-33.27932743594271</x:v>
      </x:c>
      <x:c r="E8" s="72" t="n">
        <x:v>-35.84108700113949</x:v>
      </x:c>
      <x:c r="F8" s="72" t="n">
        <x:v>-36.484334971019436</x:v>
      </x:c>
      <x:c r="G8" s="72" t="n">
        <x:v>-34.7328090454191</x:v>
      </x:c>
      <x:c r="H8" s="72" t="n">
        <x:f>AVERAGE(E8:G8)</x:f>
        <x:v>-35.68607700585934</x:v>
      </x:c>
      <x:c r="I8" s="72" t="n">
        <x:v>-33.12191207265365</x:v>
      </x:c>
      <x:c r="J8" s="72" t="n">
        <x:v>-30.899336381524595</x:v>
      </x:c>
      <x:c r="K8" s="72" t="n">
        <x:v>-30.42629927003829</x:v>
      </x:c>
      <x:c r="L8" s="72" t="n">
        <x:f>AVERAGE(I8:K8)</x:f>
        <x:v>-31.482515908072177</x:v>
      </x:c>
      <x:c r="M8"/>
      <x:c r="N8"/>
      <x:c r="O8"/>
      <x:c r="P8"/>
      <x:c r="Q8"/>
      <x:c r="R8"/>
    </x:row>
    <x:row r="9">
      <x:c r="A9" s="71" t="n">
        <x:v>50</x:v>
      </x:c>
      <x:c r="B9" s="72" t="n">
        <x:v>50.11872336272722</x:v>
      </x:c>
      <x:c r="C9" s="72" t="n">
        <x:v>7.999956251899318</x:v>
      </x:c>
      <x:c r="D9" s="72" t="n">
        <x:v>-10.981172475782664</x:v>
      </x:c>
      <x:c r="E9" s="72" t="n">
        <x:v>-17.004337328232793</x:v>
      </x:c>
      <x:c r="F9" s="72" t="n">
        <x:v>-17.387055232906505</x:v>
      </x:c>
      <x:c r="G9" s="72" t="n">
        <x:v>-17.156329230957617</x:v>
      </x:c>
      <x:c r="H9" s="72" t="n">
        <x:f>AVERAGE(E9:G9)</x:f>
        <x:v>-17.18257393069897</x:v>
      </x:c>
      <x:c r="I9" s="72" t="n">
        <x:v>-11.653935151258793</x:v>
      </x:c>
      <x:c r="J9" s="72" t="n">
        <x:v>-11.841301455759094</x:v>
      </x:c>
      <x:c r="K9" s="72" t="n">
        <x:v>-10.96435353434693</x:v>
      </x:c>
      <x:c r="L9" s="72" t="n">
        <x:f>AVERAGE(I9:K9)</x:f>
        <x:v>-11.486530047121605</x:v>
      </x:c>
      <x:c r="M9"/>
      <x:c r="N9"/>
      <x:c r="O9"/>
      <x:c r="P9"/>
      <x:c r="Q9"/>
      <x:c r="R9"/>
    </x:row>
    <x:row r="10">
      <x:c r="A10" s="71" t="n">
        <x:v>63</x:v>
      </x:c>
      <x:c r="B10" s="72" t="n">
        <x:v>63.09573444801933</x:v>
      </x:c>
      <x:c r="C10" s="72" t="n">
        <x:v>7.665716985249353</x:v>
      </x:c>
      <x:c r="D10" s="72" t="n">
        <x:v>-17.883896839353824</x:v>
      </x:c>
      <x:c r="E10" s="72" t="n">
        <x:v>-13.349501416889714</x:v>
      </x:c>
      <x:c r="F10" s="72" t="n">
        <x:v>-13.709330497417056</x:v>
      </x:c>
      <x:c r="G10" s="72" t="n">
        <x:v>-13.354425122457029</x:v>
      </x:c>
      <x:c r="H10" s="72" t="n">
        <x:f>AVERAGE(E10:G10)</x:f>
        <x:v>-13.471085678921268</x:v>
      </x:c>
      <x:c r="I10" s="72" t="n">
        <x:v>-9.219448686372267</x:v>
      </x:c>
      <x:c r="J10" s="72" t="n">
        <x:v>-9.295788875671988</x:v>
      </x:c>
      <x:c r="K10" s="72" t="n">
        <x:v>-8.433068454570723</x:v>
      </x:c>
      <x:c r="L10" s="72" t="n">
        <x:f>AVERAGE(I10:K10)</x:f>
        <x:v>-8.982768672204992</x:v>
      </x:c>
      <x:c r="M10"/>
      <x:c r="N10"/>
      <x:c r="O10"/>
      <x:c r="P10"/>
      <x:c r="Q10"/>
      <x:c r="R10"/>
    </x:row>
    <x:row r="11">
      <x:c r="A11" s="71" t="n">
        <x:v>80</x:v>
      </x:c>
      <x:c r="B11" s="72" t="n">
        <x:v>79.43282347242814</x:v>
      </x:c>
      <x:c r="C11" s="72" t="n">
        <x:v>7.019448870248099</x:v>
      </x:c>
      <x:c r="D11" s="72" t="n">
        <x:v>-8.556751298691566</x:v>
      </x:c>
      <x:c r="E11" s="72" t="n">
        <x:v>-10.176434853845306</x:v>
      </x:c>
      <x:c r="F11" s="72" t="n">
        <x:v>-10.49858517412569</x:v>
      </x:c>
      <x:c r="G11" s="72" t="n">
        <x:v>-9.995509982100943</x:v>
      </x:c>
      <x:c r="H11" s="72" t="n">
        <x:f>AVERAGE(E11:G11)</x:f>
        <x:v>-10.223510003357312</x:v>
      </x:c>
      <x:c r="I11" s="72" t="n">
        <x:v>-5.765292733050945</x:v>
      </x:c>
      <x:c r="J11" s="72" t="n">
        <x:v>-5.7867640828444245</x:v>
      </x:c>
      <x:c r="K11" s="72" t="n">
        <x:v>-5.376242376645564</x:v>
      </x:c>
      <x:c r="L11" s="72" t="n">
        <x:f>AVERAGE(I11:K11)</x:f>
        <x:v>-5.642766397513644</x:v>
      </x:c>
      <x:c r="M11"/>
      <x:c r="N11"/>
      <x:c r="O11"/>
      <x:c r="P11"/>
      <x:c r="Q11"/>
      <x:c r="R11"/>
    </x:row>
    <x:row r="12">
      <x:c r="A12" s="71" t="n">
        <x:v>100</x:v>
      </x:c>
      <x:c r="B12" s="72" t="n">
        <x:v>100</x:v>
      </x:c>
      <x:c r="C12" s="72" t="n">
        <x:v>6.245865203862803</x:v>
      </x:c>
      <x:c r="D12" s="72" t="n">
        <x:v>-5.844395975817605</x:v>
      </x:c>
      <x:c r="E12" s="72" t="n">
        <x:v>-1.080755188400401</x:v>
      </x:c>
      <x:c r="F12" s="72" t="n">
        <x:v>-1.450103860022823</x:v>
      </x:c>
      <x:c r="G12" s="72" t="n">
        <x:v>-1.152689532819247</x:v>
      </x:c>
      <x:c r="H12" s="72" t="n">
        <x:f>AVERAGE(E12:G12)</x:f>
        <x:v>-1.2278495270808236</x:v>
      </x:c>
      <x:c r="I12" s="72" t="n">
        <x:v>4.272745450624262</x:v>
      </x:c>
      <x:c r="J12" s="72" t="n">
        <x:v>4.261109520458547</x:v>
      </x:c>
      <x:c r="K12" s="72" t="n">
        <x:v>4.657650560037197</x:v>
      </x:c>
      <x:c r="L12" s="72" t="n">
        <x:f>AVERAGE(I12:K12)</x:f>
        <x:v>4.397168510373335</x:v>
      </x:c>
      <x:c r="M12"/>
      <x:c r="N12"/>
      <x:c r="O12"/>
      <x:c r="P12"/>
      <x:c r="Q12"/>
      <x:c r="R12"/>
    </x:row>
    <x:row r="13">
      <x:c r="A13" s="71" t="n">
        <x:v>125</x:v>
      </x:c>
      <x:c r="B13" s="72" t="n">
        <x:v>125.89254117941672</x:v>
      </x:c>
      <x:c r="C13" s="72" t="n">
        <x:v>5.290030919878225</x:v>
      </x:c>
      <x:c r="D13" s="72" t="n">
        <x:v>-6.861828995757644</x:v>
      </x:c>
      <x:c r="E13" s="72" t="n">
        <x:v>-1.8661478137489969</x:v>
      </x:c>
      <x:c r="F13" s="72" t="n">
        <x:v>-2.2576527032995664</x:v>
      </x:c>
      <x:c r="G13" s="72" t="n">
        <x:v>-1.9986808138559038</x:v>
      </x:c>
      <x:c r="H13" s="72" t="n">
        <x:f>AVERAGE(E13:G13)</x:f>
        <x:v>-2.040827110301489</x:v>
      </x:c>
      <x:c r="I13" s="72" t="n">
        <x:v>3.95326161634215</x:v>
      </x:c>
      <x:c r="J13" s="72" t="n">
        <x:v>3.937611849225041</x:v>
      </x:c>
      <x:c r="K13" s="72" t="n">
        <x:v>4.394509281252899</x:v>
      </x:c>
      <x:c r="L13" s="72" t="n">
        <x:f>AVERAGE(I13:K13)</x:f>
        <x:v>4.0951275822733635</x:v>
      </x:c>
      <x:c r="M13"/>
      <x:c r="N13"/>
      <x:c r="O13"/>
      <x:c r="P13"/>
      <x:c r="Q13"/>
      <x:c r="R13"/>
    </x:row>
    <x:row r="14">
      <x:c r="A14" s="71" t="n">
        <x:v>160</x:v>
      </x:c>
      <x:c r="B14" s="72" t="n">
        <x:v>158.48931924611134</x:v>
      </x:c>
      <x:c r="C14" s="72" t="n">
        <x:v>4.127895566441997</x:v>
      </x:c>
      <x:c r="D14" s="72" t="n">
        <x:v>-7.5327303093103275</x:v>
      </x:c>
      <x:c r="E14" s="72" t="n">
        <x:v>-6.877556178993322</x:v>
      </x:c>
      <x:c r="F14" s="72" t="n">
        <x:v>-7.04107436125847</x:v>
      </x:c>
      <x:c r="G14" s="72" t="n">
        <x:v>-6.739474155342046</x:v>
      </x:c>
      <x:c r="H14" s="72" t="n">
        <x:f>AVERAGE(E14:G14)</x:f>
        <x:v>-6.886034898531279</x:v>
      </x:c>
      <x:c r="I14" s="72" t="n">
        <x:v>0.46195876180864204</x:v>
      </x:c>
      <x:c r="J14" s="72" t="n">
        <x:v>0.4096007651648641</x:v>
      </x:c>
      <x:c r="K14" s="72" t="n">
        <x:v>0.8630389109114773</x:v>
      </x:c>
      <x:c r="L14" s="72" t="n">
        <x:f>AVERAGE(I14:K14)</x:f>
        <x:v>0.5781994792949945</x:v>
      </x:c>
      <x:c r="M14"/>
      <x:c r="N14"/>
      <x:c r="O14"/>
      <x:c r="P14"/>
      <x:c r="Q14"/>
      <x:c r="R14"/>
    </x:row>
    <x:row r="15">
      <x:c r="A15" s="71" t="n">
        <x:v>200</x:v>
      </x:c>
      <x:c r="B15" s="72" t="n">
        <x:v>199.526231496888</x:v>
      </x:c>
      <x:c r="C15" s="72" t="n">
        <x:v>3.0098728966154145</x:v>
      </x:c>
      <x:c r="D15" s="72" t="n">
        <x:v>-2.1931884234586327</x:v>
      </x:c>
      <x:c r="E15" s="72" t="n">
        <x:v>-0.591577952043151</x:v>
      </x:c>
      <x:c r="F15" s="72" t="n">
        <x:v>-0.7268718081142005</x:v>
      </x:c>
      <x:c r="G15" s="72" t="n">
        <x:v>-0.43575184088091135</x:v>
      </x:c>
      <x:c r="H15" s="72" t="n">
        <x:f>AVERAGE(E15:G15)</x:f>
        <x:v>-0.5847338670127543</x:v>
      </x:c>
      <x:c r="I15" s="72" t="n">
        <x:v>5.80230463534415</x:v>
      </x:c>
      <x:c r="J15" s="72" t="n">
        <x:v>5.776790369552158</x:v>
      </x:c>
      <x:c r="K15" s="72" t="n">
        <x:v>6.182928062432321</x:v>
      </x:c>
      <x:c r="L15" s="72" t="n">
        <x:f>AVERAGE(I15:K15)</x:f>
        <x:v>5.920674355776209</x:v>
      </x:c>
      <x:c r="M15"/>
      <x:c r="N15"/>
      <x:c r="O15"/>
      <x:c r="P15"/>
      <x:c r="Q15"/>
      <x:c r="R15"/>
    </x:row>
    <x:row r="16">
      <x:c r="A16" s="71" t="n">
        <x:v>250</x:v>
      </x:c>
      <x:c r="B16" s="72" t="n">
        <x:v>251.188643150958</x:v>
      </x:c>
      <x:c r="C16" s="72" t="n">
        <x:v>2.1523533541787105</x:v>
      </x:c>
      <x:c r="D16" s="72" t="n">
        <x:v>-3.456955157257511</x:v>
      </x:c>
      <x:c r="E16" s="72" t="n">
        <x:v>-4.307682498869854</x:v>
      </x:c>
      <x:c r="F16" s="72" t="n">
        <x:v>-4.16755177310943</x:v>
      </x:c>
      <x:c r="G16" s="72" t="n">
        <x:v>-3.9428003068270154</x:v>
      </x:c>
      <x:c r="H16" s="72" t="n">
        <x:f>AVERAGE(E16:G16)</x:f>
        <x:v>-4.1393448596021</x:v>
      </x:c>
      <x:c r="I16" s="72" t="n">
        <x:v>2.298020360023461</x:v>
      </x:c>
      <x:c r="J16" s="72" t="n">
        <x:v>2.2548522416450343</x:v>
      </x:c>
      <x:c r="K16" s="72" t="n">
        <x:v>2.6947397136271665</x:v>
      </x:c>
      <x:c r="L16" s="72" t="n">
        <x:f>AVERAGE(I16:K16)</x:f>
        <x:v>2.4158707717652206</x:v>
      </x:c>
      <x:c r="M16"/>
      <x:c r="N16"/>
      <x:c r="O16"/>
      <x:c r="P16"/>
      <x:c r="Q16"/>
      <x:c r="R16"/>
    </x:row>
    <x:row r="17">
      <x:c r="A17" s="71" t="n">
        <x:v>315</x:v>
      </x:c>
      <x:c r="B17" s="72" t="n">
        <x:v>316.22776601683796</x:v>
      </x:c>
      <x:c r="C17" s="72" t="n">
        <x:v>1.3618249367556643</x:v>
      </x:c>
      <x:c r="D17" s="72" t="n">
        <x:v>-7.335446235751018</x:v>
      </x:c>
      <x:c r="E17" s="72" t="n">
        <x:v>-4.745021810166017</x:v>
      </x:c>
      <x:c r="F17" s="72" t="n">
        <x:v>-4.416959900290305</x:v>
      </x:c>
      <x:c r="G17" s="72" t="n">
        <x:v>-4.407787958816739</x:v>
      </x:c>
      <x:c r="H17" s="72" t="n">
        <x:f>AVERAGE(E17:G17)</x:f>
        <x:v>-4.523256556424354</x:v>
      </x:c>
      <x:c r="I17" s="72" t="n">
        <x:v>0.9784117668058414</x:v>
      </x:c>
      <x:c r="J17" s="72" t="n">
        <x:v>0.9422181616436234</x:v>
      </x:c>
      <x:c r="K17" s="72" t="n">
        <x:v>1.3618249367556636</x:v>
      </x:c>
      <x:c r="L17" s="72" t="n">
        <x:f>AVERAGE(I17:K17)</x:f>
        <x:v>1.0941516217350429</x:v>
      </x:c>
      <x:c r="M17"/>
      <x:c r="N17"/>
      <x:c r="O17"/>
      <x:c r="P17"/>
      <x:c r="Q17"/>
      <x:c r="R17"/>
    </x:row>
    <x:row r="18">
      <x:c r="A18" s="71" t="n">
        <x:v>400</x:v>
      </x:c>
      <x:c r="B18" s="72" t="n">
        <x:v>398.1071705534972</x:v>
      </x:c>
      <x:c r="C18" s="72" t="n">
        <x:v>0.843827780209976</x:v>
      </x:c>
      <x:c r="D18" s="72" t="n">
        <x:v>-9.22921120174393</x:v>
      </x:c>
      <x:c r="E18" s="72" t="n">
        <x:v>-8.648851074993205</x:v>
      </x:c>
      <x:c r="F18" s="72" t="n">
        <x:v>-10.106159815129825</x:v>
      </x:c>
      <x:c r="G18" s="72" t="n">
        <x:v>-9.708215049591002</x:v>
      </x:c>
      <x:c r="H18" s="72" t="n">
        <x:f>AVERAGE(E18:G18)</x:f>
        <x:v>-9.487741979904678</x:v>
      </x:c>
      <x:c r="I18" s="72" t="n">
        <x:v>-5.438600618650202</x:v>
      </x:c>
      <x:c r="J18" s="72" t="n">
        <x:v>-5.614614686105028</x:v>
      </x:c>
      <x:c r="K18" s="72" t="n">
        <x:v>-5.233474074360764</x:v>
      </x:c>
      <x:c r="L18" s="72" t="n">
        <x:f>AVERAGE(I18:K18)</x:f>
        <x:v>-5.4288964597053315</x:v>
      </x:c>
      <x:c r="M18"/>
      <x:c r="N18"/>
      <x:c r="O18"/>
      <x:c r="P18"/>
      <x:c r="Q18"/>
      <x:c r="R18"/>
    </x:row>
    <x:row r="19">
      <x:c r="A19" s="71" t="n">
        <x:v>500</x:v>
      </x:c>
      <x:c r="B19" s="72" t="n">
        <x:v>501.18723362727224</x:v>
      </x:c>
      <x:c r="C19" s="72" t="n">
        <x:v>0.497447603528511</x:v>
      </x:c>
      <x:c r="D19" s="72" t="n">
        <x:v>-6.870591922848227</x:v>
      </x:c>
      <x:c r="E19" s="72" t="n">
        <x:v>-8.2949738286017</x:v>
      </x:c>
      <x:c r="F19" s="72" t="n">
        <x:v>-8.880634272881249</x:v>
      </x:c>
      <x:c r="G19" s="72" t="n">
        <x:v>-8.448617521970457</x:v>
      </x:c>
      <x:c r="H19" s="72" t="n">
        <x:f>AVERAGE(E19:G19)</x:f>
        <x:v>-8.541408541151135</x:v>
      </x:c>
      <x:c r="I19" s="72" t="n">
        <x:v>-7.505665618723853</x:v>
      </x:c>
      <x:c r="J19" s="72" t="n">
        <x:v>-7.583708270011048</x:v>
      </x:c>
      <x:c r="K19" s="72" t="n">
        <x:v>-7.209740648464027</x:v>
      </x:c>
      <x:c r="L19" s="72" t="n">
        <x:f>AVERAGE(I19:K19)</x:f>
        <x:v>-7.433038179066309</x:v>
      </x:c>
      <x:c r="M19"/>
      <x:c r="N19"/>
      <x:c r="O19"/>
      <x:c r="P19"/>
      <x:c r="Q19"/>
      <x:c r="R19"/>
    </x:row>
    <x:row r="20">
      <x:c r="A20" s="71" t="n">
        <x:v>630</x:v>
      </x:c>
      <x:c r="B20" s="72" t="n">
        <x:v>630.9573444801932</x:v>
      </x:c>
      <x:c r="C20" s="72" t="n">
        <x:v>0.30633153528415064</x:v>
      </x:c>
      <x:c r="D20" s="72" t="n">
        <x:v>-2.610298778744525</x:v>
      </x:c>
      <x:c r="E20" s="72" t="n">
        <x:v>-14.394058800630434</x:v>
      </x:c>
      <x:c r="F20" s="72" t="n">
        <x:v>-14.69873284422507</x:v>
      </x:c>
      <x:c r="G20" s="72" t="n">
        <x:v>-14.60582876779507</x:v>
      </x:c>
      <x:c r="H20" s="72" t="n">
        <x:f>AVERAGE(E20:G20)</x:f>
        <x:v>-14.566206804216856</x:v>
      </x:c>
      <x:c r="I20" s="72" t="n">
        <x:v>-5.522339544518545</x:v>
      </x:c>
      <x:c r="J20" s="72" t="n">
        <x:v>-5.572494738681996</x:v>
      </x:c>
      <x:c r="K20" s="72" t="n">
        <x:v>-5.159955937482977</x:v>
      </x:c>
      <x:c r="L20" s="72" t="n">
        <x:f>AVERAGE(I20:K20)</x:f>
        <x:v>-5.418263406894506</x:v>
      </x:c>
      <x:c r="M20"/>
      <x:c r="N20"/>
      <x:c r="O20"/>
      <x:c r="P20"/>
      <x:c r="Q20"/>
      <x:c r="R20"/>
    </x:row>
    <x:row r="21">
      <x:c r="A21" s="71" t="n">
        <x:v>800</x:v>
      </x:c>
      <x:c r="B21" s="72" t="n">
        <x:v>794.3282347242815</x:v>
      </x:c>
      <x:c r="C21" s="72" t="n">
        <x:v>0.16939146169255118</x:v>
      </x:c>
      <x:c r="D21" s="72" t="n">
        <x:v>1.9233606276420971</x:v>
      </x:c>
      <x:c r="E21" s="72" t="n">
        <x:v>0.10970194435210168</x:v>
      </x:c>
      <x:c r="F21" s="72" t="n">
        <x:v>1.6385237559064123</x:v>
      </x:c>
      <x:c r="G21" s="72" t="n">
        <x:v>1.7294434965494005</x:v>
      </x:c>
      <x:c r="H21" s="72" t="n">
        <x:f>AVERAGE(E21:G21)</x:f>
        <x:v>1.159223065602638</x:v>
      </x:c>
      <x:c r="I21" s="72" t="n">
        <x:v>1.0474774936514244</x:v>
      </x:c>
      <x:c r="J21" s="72" t="n">
        <x:v>1.258635716401237</x:v>
      </x:c>
      <x:c r="K21" s="72" t="n">
        <x:v>1.863706836030385</x:v>
      </x:c>
      <x:c r="L21" s="72" t="n">
        <x:f>AVERAGE(I21:K21)</x:f>
        <x:v>1.3899400153610155</x:v>
      </x:c>
      <x:c r="M21"/>
      <x:c r="N21"/>
      <x:c r="O21"/>
      <x:c r="P21"/>
      <x:c r="Q21"/>
      <x:c r="R21"/>
    </x:row>
    <x:row r="22">
      <x:c r="A22" s="71" t="n">
        <x:v>1000</x:v>
      </x:c>
      <x:c r="B22" s="72" t="n">
        <x:v>1000</x:v>
      </x:c>
      <x:c r="C22" s="72" t="n">
        <x:v>0</x:v>
      </x:c>
      <x:c r="D22" s="72" t="n">
        <x:v>0.8182704157120106</x:v>
      </x:c>
      <x:c r="E22" s="72" t="n">
        <x:v>6.027486643682878</x:v>
      </x:c>
      <x:c r="F22" s="72" t="n">
        <x:v>4.855474180001828</x:v>
      </x:c>
      <x:c r="G22" s="72" t="n">
        <x:v>5.052867143701663</x:v>
      </x:c>
      <x:c r="H22" s="72" t="n">
        <x:f>AVERAGE(E22:G22)</x:f>
        <x:v>5.311942655795456</x:v>
      </x:c>
      <x:c r="I22" s="72" t="n">
        <x:v>5.021266860465882</x:v>
      </x:c>
      <x:c r="J22" s="72" t="n">
        <x:v>4.928794698306678</x:v>
      </x:c>
      <x:c r="K22" s="72" t="n">
        <x:v>5.2198685142203605</x:v>
      </x:c>
      <x:c r="L22" s="72" t="n">
        <x:f>AVERAGE(I22:K22)</x:f>
        <x:v>5.056643357664307</x:v>
      </x:c>
      <x:c r="M22"/>
      <x:c r="N22"/>
      <x:c r="O22"/>
      <x:c r="P22"/>
      <x:c r="Q22"/>
      <x:c r="R22"/>
    </x:row>
    <x:row r="23">
      <x:c r="A23" s="71" t="n">
        <x:v>1250</x:v>
      </x:c>
      <x:c r="B23" s="72" t="n">
        <x:v>1258.9254117941673</x:v>
      </x:c>
      <x:c r="C23" s="72" t="n">
        <x:v>-0.2542440516263483</x:v>
      </x:c>
      <x:c r="D23" s="72" t="n">
        <x:v>-3.692276936001427</x:v>
      </x:c>
      <x:c r="E23" s="72" t="n">
        <x:v>2.1603137575425517</x:v>
      </x:c>
      <x:c r="F23" s="72" t="n">
        <x:v>1.390710197179649</x:v>
      </x:c>
      <x:c r="G23" s="72" t="n">
        <x:v>1.8303061904030233</x:v>
      </x:c>
      <x:c r="H23" s="72" t="n">
        <x:f>AVERAGE(E23:G23)</x:f>
        <x:v>1.7937767150417414</x:v>
      </x:c>
      <x:c r="I23" s="72" t="n">
        <x:v>-2.0608325598249735</x:v>
      </x:c>
      <x:c r="J23" s="72" t="n">
        <x:v>-2.0825977562313405</x:v>
      </x:c>
      <x:c r="K23" s="72" t="n">
        <x:v>-1.8130268195536878</x:v>
      </x:c>
      <x:c r="L23" s="72" t="n">
        <x:f>AVERAGE(I23:K23)</x:f>
        <x:v>-1.9854857118700007</x:v>
      </x:c>
      <x:c r="M23"/>
      <x:c r="N23"/>
      <x:c r="O23"/>
      <x:c r="P23"/>
      <x:c r="Q23"/>
      <x:c r="R23"/>
    </x:row>
    <x:row r="24">
      <x:c r="A24" s="71" t="n">
        <x:v>1600</x:v>
      </x:c>
      <x:c r="B24" s="72" t="n">
        <x:v>1584.8931924611136</x:v>
      </x:c>
      <x:c r="C24" s="72" t="n">
        <x:v>-0.5920295488963975</x:v>
      </x:c>
      <x:c r="D24" s="72" t="n">
        <x:v>-0.5920295488963987</x:v>
      </x:c>
      <x:c r="E24" s="72" t="n">
        <x:v>0.17856387761754888</x:v>
      </x:c>
      <x:c r="F24" s="72" t="n">
        <x:v>-0.08342975791605234</x:v>
      </x:c>
      <x:c r="G24" s="72" t="n">
        <x:v>-0.13835333175394027</x:v>
      </x:c>
      <x:c r="H24" s="72" t="n">
        <x:f>AVERAGE(E24:G24)</x:f>
        <x:v>-0.014406404017481242</x:v>
      </x:c>
      <x:c r="I24" s="72" t="n">
        <x:v>0.9294203763736242</x:v>
      </x:c>
      <x:c r="J24" s="72" t="n">
        <x:v>0.9299459571601503</x:v>
      </x:c>
      <x:c r="K24" s="72" t="n">
        <x:v>1.197047714346084</x:v>
      </x:c>
      <x:c r="L24" s="72" t="n">
        <x:f>AVERAGE(I24:K24)</x:f>
        <x:v>1.0188046826266195</x:v>
      </x:c>
      <x:c r="M24"/>
      <x:c r="N24"/>
      <x:c r="O24"/>
      <x:c r="P24"/>
      <x:c r="Q24"/>
      <x:c r="R24"/>
    </x:row>
    <x:row r="25">
      <x:c r="A25" s="71" t="n">
        <x:v>2000</x:v>
      </x:c>
      <x:c r="B25" s="72" t="n">
        <x:v>1995.2623149688795</x:v>
      </x:c>
      <x:c r="C25" s="72" t="n">
        <x:v>-1.055344785492358</x:v>
      </x:c>
      <x:c r="D25" s="72" t="n">
        <x:v>3.296404616631186</x:v>
      </x:c>
      <x:c r="E25" s="72" t="n">
        <x:v>-0.9956552681519071</x:v>
      </x:c>
      <x:c r="F25" s="72" t="n">
        <x:v>-1.5639445764727036</x:v>
      </x:c>
      <x:c r="G25" s="72" t="n">
        <x:v>-1.5090210026348156</x:v>
      </x:c>
      <x:c r="H25" s="72" t="n">
        <x:f>AVERAGE(E25:G25)</x:f>
        <x:v>-1.3562069490864754</x:v>
      </x:c>
      <x:c r="I25" s="72" t="n">
        <x:v>1.5758349722853495</x:v>
      </x:c>
      <x:c r="J25" s="72" t="n">
        <x:v>1.6793724971534694</x:v>
      </x:c>
      <x:c r="K25" s="72" t="n">
        <x:v>2.1936902405244254</x:v>
      </x:c>
      <x:c r="L25" s="72" t="n">
        <x:f>AVERAGE(I25:K25)</x:f>
        <x:v>1.8162992366544148</x:v>
      </x:c>
      <x:c r="M25"/>
      <x:c r="N25"/>
      <x:c r="O25"/>
      <x:c r="P25"/>
      <x:c r="Q25"/>
      <x:c r="R25"/>
    </x:row>
    <x:row r="26">
      <x:c r="A26" s="71" t="n">
        <x:v>2500</x:v>
      </x:c>
      <x:c r="B26" s="72" t="n">
        <x:v>2511.8864315095802</x:v>
      </x:c>
      <x:c r="C26" s="72" t="n">
        <x:v>-1.509704222146186</x:v>
      </x:c>
      <x:c r="D26" s="72" t="n">
        <x:v>3.0000056669868584</x:v>
      </x:c>
      <x:c r="E26" s="72" t="n">
        <x:v>-3.287827723371299</x:v>
      </x:c>
      <x:c r="F26" s="72" t="n">
        <x:v>-3.3531079303817393</x:v>
      </x:c>
      <x:c r="G26" s="72" t="n">
        <x:v>-3.2974212451054665</x:v>
      </x:c>
      <x:c r="H26" s="72" t="n">
        <x:f>AVERAGE(E26:G26)</x:f>
        <x:v>-3.312785632952835</x:v>
      </x:c>
      <x:c r="I26" s="72" t="n">
        <x:v>-1.509704222146187</x:v>
      </x:c>
      <x:c r="J26" s="72" t="n">
        <x:v>-1.509704222146187</x:v>
      </x:c>
      <x:c r="K26" s="72" t="n">
        <x:v>-1.5188452565569257</x:v>
      </x:c>
      <x:c r="L26" s="72" t="n">
        <x:f>AVERAGE(I26:K26)</x:f>
        <x:v>-1.5127512336164333</x:v>
      </x:c>
      <x:c r="M26"/>
      <x:c r="N26"/>
      <x:c r="O26"/>
      <x:c r="P26"/>
      <x:c r="Q26"/>
      <x:c r="R26"/>
    </x:row>
    <x:row r="27">
      <x:c r="A27" s="71" t="n">
        <x:v>3150</x:v>
      </x:c>
      <x:c r="B27" s="72" t="n">
        <x:v>3162.2776601683795</x:v>
      </x:c>
      <x:c r="C27" s="72" t="n">
        <x:v>-1.9982899107710275</x:v>
      </x:c>
      <x:c r="D27" s="72" t="n">
        <x:v>7.0232825310461635</x:v>
      </x:c>
      <x:c r="E27" s="72" t="n">
        <x:v>-0.3538732896108634</x:v>
      </x:c>
      <x:c r="F27" s="72" t="n">
        <x:v>-0.042959368659900576</x:v>
      </x:c>
      <x:c r="G27" s="72" t="n">
        <x:v>-0.05537566274015937</x:v>
      </x:c>
      <x:c r="H27" s="72" t="n">
        <x:f>AVERAGE(E27:G27)</x:f>
        <x:v>-0.15073610700364112</x:v>
      </x:c>
      <x:c r="I27" s="72" t="n">
        <x:v>0.0644013766285525</x:v>
      </x:c>
      <x:c r="J27" s="72" t="n">
        <x:v>-0.1929749563051999</x:v>
      </x:c>
      <x:c r="K27" s="72" t="n">
        <x:v>0.37959867969898653</x:v>
      </x:c>
      <x:c r="L27" s="72" t="n">
        <x:f>AVERAGE(I27:K27)</x:f>
        <x:v>0.0836750333407797</x:v>
      </x:c>
      <x:c r="M27"/>
      <x:c r="N27"/>
      <x:c r="O27"/>
      <x:c r="P27"/>
      <x:c r="Q27"/>
      <x:c r="R27"/>
    </x:row>
    <x:row r="28">
      <x:c r="A28" s="71" t="n">
        <x:v>4000</x:v>
      </x:c>
      <x:c r="B28" s="72" t="n">
        <x:v>3981.0717055349724</x:v>
      </x:c>
      <x:c r="C28" s="72" t="n">
        <x:v>-2.4908220585554752</x:v>
      </x:c>
      <x:c r="D28" s="72" t="n">
        <x:v>10.670316392110578</x:v>
      </x:c>
      <x:c r="E28" s="72" t="n">
        <x:v>-0.8587715040798294</x:v>
      </x:c>
      <x:c r="F28" s="72" t="n">
        <x:v>-1.577492059557379</x:v>
      </x:c>
      <x:c r="G28" s="72" t="n">
        <x:v>-1.322245225197486</x:v>
      </x:c>
      <x:c r="H28" s="72" t="n">
        <x:f>AVERAGE(E28:G28)</x:f>
        <x:v>-1.2528362629448981</x:v>
      </x:c>
      <x:c r="I28" s="72" t="n">
        <x:v>3.2741824864400844</x:v>
      </x:c>
      <x:c r="J28" s="72" t="n">
        <x:v>3.149897477538312</x:v>
      </x:c>
      <x:c r="K28" s="72" t="n">
        <x:v>3.368261201425451</x:v>
      </x:c>
      <x:c r="L28" s="72" t="n">
        <x:f>AVERAGE(I28:K28)</x:f>
        <x:v>3.2641137218012823</x:v>
      </x:c>
      <x:c r="M28"/>
      <x:c r="N28"/>
      <x:c r="O28"/>
      <x:c r="P28"/>
      <x:c r="Q28"/>
      <x:c r="R28"/>
    </x:row>
    <x:row r="29">
      <x:c r="A29" s="71" t="n">
        <x:v>5000</x:v>
      </x:c>
      <x:c r="B29" s="72" t="n">
        <x:v>5011.872336272722</x:v>
      </x:c>
      <x:c r="C29" s="72" t="n">
        <x:v>-2.874148985429187</x:v>
      </x:c>
      <x:c r="D29" s="72" t="n">
        <x:v>7.523100417101993</x:v>
      </x:c>
      <x:c r="E29" s="72" t="n">
        <x:v>-0.39921226869354776</x:v>
      </x:c>
      <x:c r="F29" s="72" t="n">
        <x:v>-0.49157200726248895</x:v>
      </x:c>
      <x:c r="G29" s="72" t="n">
        <x:v>0.05945069372645939</x:v>
      </x:c>
      <x:c r="H29" s="72" t="n">
        <x:f>AVERAGE(E29:G29)</x:f>
        <x:v>-0.2771111940765258</x:v>
      </x:c>
      <x:c r="I29" s="72" t="n">
        <x:v>0.525373132586207</x:v>
      </x:c>
      <x:c r="J29" s="72" t="n">
        <x:v>0.309723830403005</x:v>
      </x:c>
      <x:c r="K29" s="72" t="n">
        <x:v>1.0074401867174672</x:v>
      </x:c>
      <x:c r="L29" s="72" t="n">
        <x:f>AVERAGE(I29:K29)</x:f>
        <x:v>0.6141790499022264</x:v>
      </x:c>
      <x:c r="M29"/>
      <x:c r="N29"/>
      <x:c r="O29"/>
      <x:c r="P29"/>
      <x:c r="Q29"/>
      <x:c r="R29"/>
    </x:row>
    <x:row r="30">
      <x:c r="A30" s="71" t="n">
        <x:v>6300</x:v>
      </x:c>
      <x:c r="B30" s="72" t="n">
        <x:v>6309.573444801933</x:v>
      </x:c>
      <x:c r="C30" s="72" t="n">
        <x:v>-3.315925763225187</x:v>
      </x:c>
      <x:c r="D30" s="72" t="n">
        <x:v>0.8281610825376404</x:v>
      </x:c>
      <x:c r="E30" s="72" t="n">
        <x:v>-2.303695065082527</x:v>
      </x:c>
      <x:c r="F30" s="72" t="n">
        <x:v>-2.6522719553477074</x:v>
      </x:c>
      <x:c r="G30" s="72" t="n">
        <x:v>-2.183802029045941</x:v>
      </x:c>
      <x:c r="H30" s="72" t="n">
        <x:f>AVERAGE(E30:G30)</x:f>
        <x:v>-2.3799230164920586</x:v>
      </x:c>
      <x:c r="I30" s="72" t="n">
        <x:v>0.26588643152415514</x:v>
      </x:c>
      <x:c r="J30" s="72" t="n">
        <x:v>0.09455453685053072</x:v>
      </x:c>
      <x:c r="K30" s="72" t="n">
        <x:v>0.16828848973680266</x:v>
      </x:c>
      <x:c r="L30" s="72" t="n">
        <x:f>AVERAGE(I30:K30)</x:f>
        <x:v>0.1762431527038295</x:v>
      </x:c>
      <x:c r="M30"/>
      <x:c r="N30"/>
      <x:c r="O30"/>
      <x:c r="P30"/>
      <x:c r="Q30"/>
      <x:c r="R30"/>
    </x:row>
    <x:row r="31">
      <x:c r="A31" s="71" t="n">
        <x:v>8000</x:v>
      </x:c>
      <x:c r="B31" s="72" t="n">
        <x:v>7943.282347242815</x:v>
      </x:c>
      <x:c r="C31" s="72" t="n">
        <x:v>-3.9776166378622455</x:v>
      </x:c>
      <x:c r="D31" s="72" t="n">
        <x:v>2.8986890657567095</x:v>
      </x:c>
      <x:c r="E31" s="72" t="n">
        <x:v>-1.6330218403428631</x:v>
      </x:c>
      <x:c r="F31" s="72" t="n">
        <x:v>-1.563882872691071</x:v>
      </x:c>
      <x:c r="G31" s="72" t="n">
        <x:v>-1.1973537511233108</x:v>
      </x:c>
      <x:c r="H31" s="72" t="n">
        <x:f>AVERAGE(E31:G31)</x:f>
        <x:v>-1.4647528213857484</x:v>
      </x:c>
      <x:c r="I31" s="72" t="n">
        <x:v>0.9973324189166313</x:v>
      </x:c>
      <x:c r="J31" s="72" t="n">
        <x:v>0.9591951687471862</x:v>
      </x:c>
      <x:c r="K31" s="72" t="n">
        <x:v>1.4900838324549213</x:v>
      </x:c>
      <x:c r="L31" s="72" t="n">
        <x:f>AVERAGE(I31:K31)</x:f>
        <x:v>1.148870473372913</x:v>
      </x:c>
      <x:c r="M31"/>
      <x:c r="N31"/>
      <x:c r="O31"/>
      <x:c r="P31"/>
      <x:c r="Q31"/>
      <x:c r="R31"/>
    </x:row>
    <x:row r="32">
      <x:c r="A32" s="71" t="n">
        <x:v>10000</x:v>
      </x:c>
      <x:c r="B32" s="72" t="n">
        <x:v>10000</x:v>
      </x:c>
      <x:c r="C32" s="72" t="n">
        <x:v>-4.8</x:v>
      </x:c>
      <x:c r="D32" s="72" t="n">
        <x:v>-2.400007572428809</x:v>
      </x:c>
      <x:c r="E32" s="72" t="n">
        <x:v>-4.462132113247089</x:v>
      </x:c>
      <x:c r="F32" s="72" t="n">
        <x:v>-4.649861022618612</x:v>
      </x:c>
      <x:c r="G32" s="72" t="n">
        <x:v>-4.330806797156791</x:v>
      </x:c>
      <x:c r="H32" s="72" t="n">
        <x:f>AVERAGE(E32:G32)</x:f>
        <x:v>-4.480933311007497</x:v>
      </x:c>
      <x:c r="I32" s="72" t="n">
        <x:v>0.35500361758525045</x:v>
      </x:c>
      <x:c r="J32" s="72" t="n">
        <x:v>0.4314972573402258</x:v>
      </x:c>
      <x:c r="K32" s="72" t="n">
        <x:v>0.9143577388588149</x:v>
      </x:c>
      <x:c r="L32" s="72" t="n">
        <x:f>AVERAGE(I32:K32)</x:f>
        <x:v>0.5669528712614303</x:v>
      </x:c>
      <x:c r="M32"/>
      <x:c r="N32"/>
      <x:c r="O32"/>
      <x:c r="P32"/>
      <x:c r="Q32"/>
      <x:c r="R32"/>
    </x:row>
    <x:row r="33">
      <x:c r="A33" s="71" t="n">
        <x:v>12500</x:v>
      </x:c>
      <x:c r="B33" s="72" t="n">
        <x:v>12589.254117941675</x:v>
      </x:c>
      <x:c r="C33" s="72" t="n">
        <x:v>-5.52511064388149</x:v>
      </x:c>
      <x:c r="D33" s="72" t="n">
        <x:v>1.4821774472996907</x:v>
      </x:c>
      <x:c r="E33" s="72" t="n">
        <x:v>0.6784413052338625</x:v>
      </x:c>
      <x:c r="F33" s="72" t="n">
        <x:v>0.7781929078335708</x:v>
      </x:c>
      <x:c r="G33" s="72" t="n">
        <x:v>1.3912039761400887</x:v>
      </x:c>
      <x:c r="H33" s="72" t="n">
        <x:f>AVERAGE(E33:G33)</x:f>
        <x:v>0.9492793964025074</x:v>
      </x:c>
      <x:c r="I33" s="72" t="n">
        <x:v>5.329940889355614</x:v>
      </x:c>
      <x:c r="J33" s="72" t="n">
        <x:v>5.270366909368866</x:v>
      </x:c>
      <x:c r="K33" s="72" t="n">
        <x:v>5.431657050433117</x:v>
      </x:c>
      <x:c r="L33" s="72" t="n">
        <x:f>AVERAGE(I33:K33)</x:f>
        <x:v>5.343988283052532</x:v>
      </x:c>
      <x:c r="M33"/>
      <x:c r="N33"/>
      <x:c r="O33"/>
      <x:c r="P33"/>
      <x:c r="Q33"/>
      <x:c r="R33"/>
    </x:row>
    <x:row r="34">
      <x:c r="A34" s="71" t="n">
        <x:v>16000</x:v>
      </x:c>
      <x:c r="B34" s="72" t="n">
        <x:v>15848.931924611134</x:v>
      </x:c>
      <x:c r="C34" s="72" t="n">
        <x:v>-6.452391488385241</x:v>
      </x:c>
      <x:c r="D34" s="72" t="n">
        <x:v>-6.467930547363455</x:v>
      </x:c>
      <x:c r="E34" s="72" t="n">
        <x:v>-4.084930743457937</x:v>
      </x:c>
      <x:c r="F34" s="72" t="n">
        <x:v>-3.478814778607674</x:v>
      </x:c>
      <x:c r="G34" s="72" t="n">
        <x:v>-3.2482515929391926</x:v>
      </x:c>
      <x:c r="H34" s="72" t="n">
        <x:f>AVERAGE(E34:G34)</x:f>
        <x:v>-3.6039990383349347</x:v>
      </x:c>
      <x:c r="I34" s="72" t="n">
        <x:v>-2.146300282056984</x:v>
      </x:c>
      <x:c r="J34" s="72" t="n">
        <x:v>-2.2865303015719967</x:v>
      </x:c>
      <x:c r="K34" s="72" t="n">
        <x:v>-2.227539228836388</x:v>
      </x:c>
      <x:c r="L34" s="72" t="n">
        <x:f>AVERAGE(I34:K34)</x:f>
        <x:v>-2.2201232708217895</x:v>
      </x:c>
      <x:c r="M34"/>
      <x:c r="N34"/>
      <x:c r="O34"/>
      <x:c r="P34"/>
      <x:c r="Q34"/>
      <x:c r="R34"/>
    </x:row>
    <x:row r="35">
      <x:c r="A35" s="71" t="n">
        <x:v>20000</x:v>
      </x:c>
      <x:c r="B35" s="72" t="n">
        <x:v>19952.623149688796</x:v>
      </x:c>
      <x:c r="C35" s="72" t="n">
        <x:v>-7.9810721968009855</x:v>
      </x:c>
      <x:c r="D35" s="72" t="n">
        <x:v>-67.97675407215287</x:v>
      </x:c>
      <x:c r="E35" s="72" t="n">
        <x:v>-69.03550974535618</x:v>
      </x:c>
      <x:c r="F35" s="72" t="n">
        <x:v>-70.30297720730655</x:v>
      </x:c>
      <x:c r="G35" s="72" t="n">
        <x:v>-70.37105317368085</x:v>
      </x:c>
      <x:c r="H35" s="72" t="n">
        <x:f>AVERAGE(E35:G35)</x:f>
        <x:v>-69.90318004211453</x:v>
      </x:c>
      <x:c r="I35" s="72" t="n">
        <x:v>-63.114413528210335</x:v>
      </x:c>
      <x:c r="J35" s="72" t="n">
        <x:v>-65.4101314669744</x:v>
      </x:c>
      <x:c r="K35" s="72" t="n">
        <x:v>-63.75178756749128</x:v>
      </x:c>
      <x:c r="L35" s="72" t="n">
        <x:f>AVERAGE(I35:K35)</x:f>
        <x:v>-64.09211085422534</x:v>
      </x:c>
      <x:c r="M35"/>
      <x:c r="N35"/>
      <x:c r="O35"/>
      <x:c r="P35"/>
      <x:c r="Q35"/>
      <x:c r="R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</x:row>
  </x:sheetData>
  <x:mergeCells>
    <x:mergeCell ref="A1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5" hidden="0" customWidth="1"/>
  </x:cols>
  <x:sheetData>
    <x:row r="1">
      <x:c r="A1" s="62" t="str">
        <x:v>Методика, источники и ограничения</x:v>
      </x:c>
      <x:c r="B1" s="62"/>
      <x:c r="C1"/>
      <x:c r="D1"/>
      <x:c r="E1"/>
      <x:c r="F1"/>
    </x:row>
    <x:row r="2">
      <x:c r="A2" s="62"/>
      <x:c r="B2" s="62"/>
      <x:c r="C2"/>
      <x:c r="D2"/>
      <x:c r="E2"/>
      <x:c r="F2"/>
    </x:row>
    <x:row r="4">
      <x:c r="A4" s="68" t="str">
        <x:v>Параметр</x:v>
      </x:c>
      <x:c r="B4" s="68" t="str">
        <x:v>Описание</x:v>
      </x:c>
    </x:row>
    <x:row r="5">
      <x:c r="A5" s="88" t="str">
        <x:v>Кандидат 1</x:v>
      </x:c>
      <x:c r="B5" s="88" t="str">
        <x:v>15.07.2026; прежний EQ-профиль; AUX; ноутбук 65%; магнитола 20/62; микрофон удерживался рукой.</x:v>
      </x:c>
    </x:row>
    <x:row r="6" ht="38" customHeight="1">
      <x:c r="A6" s="88" t="str">
        <x:v>Предыдущий шаг</x:v>
      </x:c>
      <x:c r="B6" s="88" t="str">
        <x:v>16.07.2026; первый принятый профиль задержек: CH1 40 см, CH2 0 см; среднее трёх центральных повторов; магнитола 24/62; микрофон на стойке.</x:v>
      </x:c>
    </x:row>
    <x:row r="7" ht="38" customHeight="1">
      <x:c r="A7" s="88" t="str">
        <x:v>Текущий шаг</x:v>
      </x:c>
      <x:c r="B7" s="88" t="str">
        <x:v>16.07.2026; CH1 51 см, CH2 0 см; текущий EQ с 135 Гц +1 дБ, Q=2,5; среднее трёх центральных повторов; магнитола 24/62.</x:v>
      </x:c>
    </x:row>
    <x:row r="8" ht="38" customHeight="1">
      <x:c r="A8" s="88" t="str">
        <x:v>Повторяемость текущего</x:v>
      </x:c>
      <x:c r="B8" s="88" t="str">
        <x:v>Серия Q=2,5 принята; максимальное стандартное отклонение выровненной АЧХ 0,35 дБ при лимите 1 дБ.</x:v>
      </x:c>
    </x:row>
    <x:row r="9" ht="38" customHeight="1">
      <x:c r="A9" s="88" t="str">
        <x:v>Сопоставимость</x:v>
      </x:c>
      <x:c r="B9" s="88" t="str">
        <x:v>Кривые нормализованы анализатором. Разные условия кандидата 1 и поздних серий не позволяют трактовать график как сравнение абсолютного SPL.</x:v>
      </x:c>
    </x:row>
    <x:row r="10" ht="38" customHeight="1">
      <x:c r="A10" s="88" t="str">
        <x:v>Цель</x:v>
      </x:c>
      <x:c r="B10" s="88" t="str">
        <x:v>warm_driver; достоверный диапазон микрофона 100–18 000 Гц.</x:v>
      </x:c>
    </x:row>
    <x:row r="11" ht="38" customHeight="1">
      <x:c r="A11" s="88" t="str">
        <x:v>Цвета</x:v>
      </x:c>
      <x:c r="B11" s="88" t="str">
        <x:v>Кандидат 1 — тёмно-синий; предыдущий — оранжевый; идеал — зелёный; текущий — голубой. Порядок серий одинаков на обоих графиках, поэтому цвета не меняются.</x:v>
      </x:c>
    </x:row>
    <x:row r="12" ht="38" customHeight="1">
      <x:c r="A12" s="88" t="str">
        <x:v>Источник: кандидат 1</x:v>
      </x:c>
      <x:c r="B12" s="88" t="str">
        <x:v>C:/Projects/adjCarHead/audio_tuning/data/outputs/aura_indigo_877dsp_mkii/quick/run_20260715_161000_candidate_01/frequency_table.csv</x:v>
      </x:c>
    </x:row>
    <x:row r="13" ht="38" customHeight="1">
      <x:c r="A13" s="88" t="str">
        <x:v>Источники: предыдущий</x:v>
      </x:c>
      <x:c r="B13" s="88" t="str">
        <x:v>C:/Projects/adjCarHead/audio_tuning/data/outputs/aura_indigo_877dsp_mkii/quick/run_20260716_145726_center/frequency_table.csv; C:/Projects/adjCarHead/audio_tuning/data/outputs/aura_indigo_877dsp_mkii/quick/run_20260716_145805_center/frequency_table.csv; C:/Projects/adjCarHead/audio_tuning/data/outputs/aura_indigo_877dsp_mkii/quick/run_20260716_145841_center/frequency_table.csv</x:v>
      </x:c>
    </x:row>
    <x:row r="14" ht="54" customHeight="1">
      <x:c r="A14" s="88" t="str">
        <x:v>Источники: текущий</x:v>
      </x:c>
      <x:c r="B14" s="88" t="str">
        <x:v>C:/Projects/adjCarHead/audio_tuning/data/outputs/aura_indigo_877dsp_mkii/quick/run_20260716_212553_center/frequency_table.csv; C:/Projects/adjCarHead/audio_tuning/data/outputs/aura_indigo_877dsp_mkii/quick/run_20260716_212628_center/frequency_table.csv; C:/Projects/adjCarHead/audio_tuning/data/outputs/aura_indigo_877dsp_mkii/quick/run_20260716_212706_center/frequency_table.csv</x:v>
      </x:c>
    </x:row>
    <x:row r="15" ht="54" customHeight="1">
      <x:c r="A15"/>
      <x:c r="B15"/>
    </x:row>
    <x:row r="16" ht="82" customHeight="1">
      <x:c r="A16"/>
      <x:c r="B16"/>
    </x:row>
    <x:row r="17" ht="82" customHeight="1">
      <x:c r="A17"/>
      <x:c r="B17"/>
    </x:row>
  </x:sheetData>
  <x:mergeCells>
    <x:mergeCell ref="A1:F2"/>
  </x:mergeCells>
  <x:pageMargins left="0.7" right="0.7" top="0.75" bottom="0.75" header="0.3" footer="0.3"/>
</x:worksheet>
</file>